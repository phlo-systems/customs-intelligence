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aurabh/Desktop/Customs-Intelligence/"/>
    </mc:Choice>
  </mc:AlternateContent>
  <xr:revisionPtr revIDLastSave="0" documentId="8_{75E26EE5-3454-3A4B-89E4-68CA8F3213B1}" xr6:coauthVersionLast="47" xr6:coauthVersionMax="47" xr10:uidLastSave="{00000000-0000-0000-0000-000000000000}"/>
  <bookViews>
    <workbookView xWindow="0" yWindow="740" windowWidth="29400" windowHeight="17200" tabRatio="500" firstSheet="2" activeTab="11" xr2:uid="{00000000-000D-0000-FFFF-FFFF00000000}"/>
  </bookViews>
  <sheets>
    <sheet name="DEVELOPER_NOTES" sheetId="1" r:id="rId1"/>
    <sheet name="README" sheetId="2" r:id="rId2"/>
    <sheet name="COUNTRY" sheetId="3" r:id="rId3"/>
    <sheet name="HS_SECTION" sheetId="4" r:id="rId4"/>
    <sheet name="HS_HEADING" sheetId="5" r:id="rId5"/>
    <sheet name="HS_SUBHEADING" sheetId="6" r:id="rId6"/>
    <sheet name="COMMODITY_CODE" sheetId="7" r:id="rId7"/>
    <sheet name="MFN_RATE" sheetId="8" r:id="rId8"/>
    <sheet name="TARIFF_RATE" sheetId="9" r:id="rId9"/>
    <sheet name="TARIFF_RATE_HIST" sheetId="10" r:id="rId10"/>
    <sheet name="TRADE_AGREEMENT" sheetId="11" r:id="rId11"/>
    <sheet name="PREFERENTIAL_RATE" sheetId="12" r:id="rId12"/>
    <sheet name="RULES_OF_ORIGIN" sheetId="13" r:id="rId13"/>
    <sheet name="ORIGIN_DOCUMENT" sheetId="14" r:id="rId14"/>
    <sheet name="REG_MEASURE" sheetId="15" r:id="rId15"/>
    <sheet name="IMPORT_CONDITION" sheetId="16" r:id="rId16"/>
    <sheet name="EXPORT_MEASURE" sheetId="17" r:id="rId17"/>
    <sheet name="SANCTIONS_MEASURE" sheetId="18" r:id="rId18"/>
    <sheet name="VAT_RATE" sheetId="19" r:id="rId19"/>
    <sheet name="Sheet1" sheetId="28" r:id="rId20"/>
    <sheet name="EXCISE" sheetId="20" r:id="rId21"/>
    <sheet name="AD_MEASURE" sheetId="21" r:id="rId22"/>
    <sheet name="DUTY_RELIEF" sheetId="22" r:id="rId23"/>
    <sheet name="TARIFF_SOURCE" sheetId="23" r:id="rId24"/>
    <sheet name="SOURCE_SYNC_JOB" sheetId="24" r:id="rId25"/>
    <sheet name="SOURCE_SYNC_CHANGE" sheetId="25" r:id="rId26"/>
    <sheet name="TARIFF_LOOKUP_QUERY" sheetId="26" r:id="rId27"/>
    <sheet name="QUERY_EXAMPLES" sheetId="27" r:id="rId2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6" i="19" l="1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</calcChain>
</file>

<file path=xl/sharedStrings.xml><?xml version="1.0" encoding="utf-8"?>
<sst xmlns="http://schemas.openxmlformats.org/spreadsheetml/2006/main" count="3009" uniqueCount="1416">
  <si>
    <t>CUSTOMS INTELLIGENCE PLATFORM — DEVELOPER REFERENCE  v3.0</t>
  </si>
  <si>
    <t>WCO / UNCTAD / WTO Standards  ·  21 Tables  ·  Natural Keys  ·  App-layer Sync  ·  Read this sheet before writing any code</t>
  </si>
  <si>
    <t>1.  DATA MODEL OVERVIEW &amp; PURPOSE</t>
  </si>
  <si>
    <t>Purpose</t>
  </si>
  <si>
    <t>This data model supports an international commodity trader estimating ALL customs and regulatory costs associated with buying goods from a supplier in one country and delivering to a customer in another. The output is a complete landed cost: MFN duty + AD/CVD surcharge + VAT/GST/Excise + regulatory compliance costs. Border logistics costs (freight, THC, demurrage) are handled by a separate logistics_intelligence module and combined at application layer.</t>
  </si>
  <si>
    <t>21 Tables — 6 Groups</t>
  </si>
  <si>
    <t>Group 1 — HS Hierarchy (teal): COUNTRY, HS_SECTION, HS_HEADING, HS_SUBHEADING. Group 2 — Commodity &amp; Rates (pink): COMMODITY_CODE, MFN_RATE, TARIFF_RATE, TARIFF_RATE_HIST. Group 3 — Preferences (green): TRADE_AGREEMENT, PREFERENTIAL_RATE, RULES_OF_ORIGIN, ORIGIN_DOCUMENT. Group 4 — Regulatory (amber/brown): REG_MEASURE, IMPORT_CONDITION, EXPORT_MEASURE, SANCTIONS_MEASURE. Group 5 — Indirect Tax (olive): VAT_RATE, EXCISE, AD_MEASURE, DUTY_RELIEF. Group 6 — Sync &amp; Audit (orange): TARIFF_SOURCE, SOURCE_SYNC_JOB, SOURCE_SYNC_CHANGE.</t>
  </si>
  <si>
    <t>2.  KEY ARCHITECTURAL DECISIONS</t>
  </si>
  <si>
    <t>Sync: Application layer only</t>
  </si>
  <si>
    <t>HTTP polling, HTML/JSON/XML parsing, hash comparison, field-level diff, retry logic, auto-apply threshold check — ALL in the application sync worker service (Azure Function / Node / Python). The database handles ONLY persistence. REASON: databases are not HTTP clients. Stored procedures cannot handle 503s, parse HTML, or retry with backoff. Mixing this logic in the DB creates undebuggable failures. See TARIFF_SOURCE, SOURCE_SYNC_JOB, SOURCE_SYNC_CHANGE sheets.</t>
  </si>
  <si>
    <t>TARIFF_RATE_HIST: DB trigger only</t>
  </si>
  <si>
    <t>The application NEVER writes directly to TARIFF_RATE_HIST. Implement as an AFTER UPDATE trigger on TARIFF_RATE. The trigger copies the old row to TARIFF_RATE_HIST before the update is applied. This guarantees audit completeness regardless of which code path caused the change.</t>
  </si>
  <si>
    <t>EffectiveTo IS NULL = current</t>
  </si>
  <si>
    <t>In all rate tables (TARIFF_RATE, MFN_RATE, VAT_RATE, EXCISE, PREFERENTIAL_RATE, AD_MEASURE), EffectiveTo IS NULL means the row is currently active. Always filter WHERE EffectiveTo IS NULL for current rates. When a rate changes: UPDATE old row SET EffectiveTo = new_date - 1, then INSERT new row with EffectiveTo = NULL.</t>
  </si>
  <si>
    <t>HSVersion handling</t>
  </si>
  <si>
    <t>PK on HS_SUBHEADING and COMMODITY_CODE includes HSVersion (default 'HS 2022'). When WCO publishes HS 2028 (effective Jan 2028), INSERT new rows with HSVersion = 'HS 2028' — never UPDATE existing rows. Preserves historical rate data tied to old codes.</t>
  </si>
  <si>
    <t>CIF vs FOB — critical for landed cost</t>
  </si>
  <si>
    <t>Import duty is calculated on customs value. UK/EU use CIF (cost+insurance+freight at destination). Americas (BR, AR, MX, UY) use FOB (value at origin). On $10,000 goods + $800 freight: 14.4% CIF = $1,555 vs 14.4% FOB = $1,440 — an 8% difference. ValuationBasis is stored per country in the COUNTRY table and per rate row in MFN_RATE.</t>
  </si>
  <si>
    <t>Landed cost formula</t>
  </si>
  <si>
    <t>Total border cost = Customs Value (per ValuationBasis) + MFN Duty (MFN_RATE: ad valorem or specific) + AD/CVD Surcharge if applicable (AD_MEASURE) + SUM(VAT_RATE rows for commodity+country — may be multiple for BR/MX) + Excise if applicable (EXCISE table) + Export duty from origin country if applicable (EXPORT_MEASURE) ± Duty relief offset if applicable (DUTY_RELIEF). Logistics costs (freight, THC, demurrage, exam fees) added from logistics_intelligence module.</t>
  </si>
  <si>
    <t>Secrets handling</t>
  </si>
  <si>
    <t>TARIFF_SOURCE.AuthCredentialRef stores the Azure Key Vault secret NAME only — never the actual API key, password or token. The sync worker retrieves the secret at runtime via managed identity. Never store credentials in the database or source code.</t>
  </si>
  <si>
    <t>3.  ADMIN DASHBOARD — KEY SQL QUERIES</t>
  </si>
  <si>
    <t>Cross-country duty comparison</t>
  </si>
  <si>
    <t>SELECT c.CountryName, tr.CommodityCode, mr.AppliedMFNRate, vr.Rate AS VATRate, (mr.AppliedMFNRate + vr.Rate) AS TotalBorderCost, pr.PrefRate, pr.AgreementCode FROM TARIFF_RATE tr JOIN COUNTRY c ON tr.CountryCode = c.CountryCode JOIN MFN_RATE mr ON tr.CommodityCode = mr.CommodityCode AND tr.CountryCode = mr.CountryCode   AND mr.RateCategory = 'APPLIED' AND mr.EffectiveTo IS NULL JOIN VAT_RATE vr ON tr.CommodityCode = vr.CommodityCode AND tr.CountryCode = vr.CountryCode   AND vr.TaxType = 'VAT' AND vr.EffectiveTo IS NULL LEFT JOIN PREFERENTIAL_RATE pr ON tr.CommodityCode = pr.CommodityCode   AND tr.CountryCode = pr.ImportCountryCode AND pr.EffectiveTo IS NULL WHERE tr.SubheadingCode = '200410' AND tr.EffectiveTo IS NULL ORDER BY mr.AppliedMFNRate DESC</t>
  </si>
  <si>
    <t>VAT increases last 6 months</t>
  </si>
  <si>
    <t>SELECT c.CountryName, h.SubheadingCode, h.OldRate, h.NewRate, h.EffectiveFrom, h.LegalBasis FROM TARIFF_RATE_HIST h JOIN COUNTRY c ON h.CountryCode = c.CountryCode WHERE h.RateType = 'VAT' AND h.ChangeType = 'INCREASE' AND h.EffectiveFrom &gt;= DATEADD(month, -6, GETDATE()) ORDER BY h.EffectiveFrom DESC</t>
  </si>
  <si>
    <t>Full regulatory checklist for a trade</t>
  </si>
  <si>
    <t>-- All import conditions + regulatory measures for a commodity entering a country:
SELECT 'REG_MEASURE' AS Source, MeasureType, MeasureDescription, LicenceRequired, IsProhibited FROM REG_MEASURE WHERE CommodityCode = :code AND CountryCode = :dest AND EffectiveTo IS NULL UNION ALL SELECT 'IMPORT_CONDITION', NTMCode, ConditionDescription, CAST(IsMandatory AS VARCHAR), 'N' FROM IMPORT_CONDITION WHERE CommodityCode = :code AND CountryCode = :dest AND EffectiveTo IS NULL UNION ALL SELECT 'SANCTIONS', SanctionsType, Description, 'Y', 'Y' FROM SANCTIONS_MEASURE WHERE (CommodityCode = :code OR CommodityCode IS NULL) AND (ImportCountryCode = :dest OR ExportCountryCode = :origin) AND IsActive = 'Y'</t>
  </si>
  <si>
    <t>Pending sync changes (admin queue)</t>
  </si>
  <si>
    <t>SELECT sc.ChangeID, ts.CountryCode, ts.SourceName, sc.CommodityCode, sc.FieldChanged, sc.OldValue, sc.NewValue, sc.ChangeDetectedAt, sc.SourceURL FROM SOURCE_SYNC_CHANGE sc JOIN SOURCE_SYNC_JOB sj ON sc.JobID = sj.JobID JOIN TARIFF_SOURCE ts ON sj.SourceID = ts.SourceID WHERE sc.ChangeStatus = 'PENDING_REVIEW' ORDER BY sc.ChangeDetectedAt DESC</t>
  </si>
  <si>
    <t>4.  NEW TABLES IN v3.0 — SUMMARY</t>
  </si>
  <si>
    <t>AD_MEASURE</t>
  </si>
  <si>
    <t>Anti-dumping, countervailing duty and safeguard measures. Exporter-specific rates (different rate per producing company — not just per country). ADStatus lifecycle: INVESTIGATION → PROVISIONAL → DEFINITIVE → REVIEW → EXPIRED. Stacks on top of MFN duty. MeasureType distinguishes ANTI_DUMPING / COUNTERVAILING / SAFEGUARD.</t>
  </si>
  <si>
    <t>VAT_RATE</t>
  </si>
  <si>
    <t>Replaces VATRate column in TARIFF_RATE. Supports multi-tax countries (Brazil: II+IPI+PIS+COFINS+ICMS), zero/reduced/exempt food rates by commodity (UK frozen chips = 0%), VATBasis (CUSTOMS_VALUE_PLUS_DUTY vs CUSTOMS_VALUE_ONLY), PostponedAccounting (UK PVA), ReliefAvailable flag, state-level ICMS variation.</t>
  </si>
  <si>
    <t>EXCISE</t>
  </si>
  <si>
    <t>Standalone table replacing the nullable ExciseRate column. Covers specific duty amounts (e.g. £28.74/litre pure alcohol), suspension schemes (excise warehouse), duty drawback on re-export, and domestic vs import excise rate distinction.</t>
  </si>
  <si>
    <t>IMPORT_CONDITION</t>
  </si>
  <si>
    <t>UNCTAD TRAINS NTM codes (A=SPS, B=TBT, C=Inspection). Covers fumigation, phytosanitary, heat treatment, labelling, packaging (ISPM 15), pre-shipment inspection. TimingRequirement (PRE_SHIPMENT / AT_BORDER / POST_ARRIVAL), ValidityPeriodDays, IsMandatory, origin-specific.</t>
  </si>
  <si>
    <t>EXPORT_MEASURE</t>
  </si>
  <si>
    <t>Export duties (Argentina soy, Indonesia palm oil), export licensing (dual-use, CITES, strategic goods), export quotas. Origin country perspective — affects supplier pricing and feasibility. Includes export VAT refund eligibility flag.</t>
  </si>
  <si>
    <t>SANCTIONS_MEASURE</t>
  </si>
  <si>
    <t>Country-level, sectoral and entity sanctions. Administering bodies: OFAC (USA), OTSI (UK), EU CFSP, UN Security Council. CRITICAL: check this BEFORE calculating landed cost — a sanctioned trade is illegal regardless of duty rates. Separate from REG_MEASURE.</t>
  </si>
  <si>
    <t>RULES_OF_ORIGIN</t>
  </si>
  <si>
    <t>Structured origin criteria per FTA/GSP: WO (wholly obtained), CTH (change in tariff heading), CTSH (subheading), RVC% (regional value content), SP (sufficient processing). Cumulation rules, direct transport rule, tolerance %. Links to ORIGIN_DOCUMENT.</t>
  </si>
  <si>
    <t>ORIGIN_DOCUMENT</t>
  </si>
  <si>
    <t>Documentary proof required to claim preferential rate: EUR.1, REX statement, Form A, invoice declaration, long-term supplier declaration. Validity period, issuing authority, value threshold for simplified proof, approved exporter requirement.</t>
  </si>
  <si>
    <t>DUTY_RELIEF</t>
  </si>
  <si>
    <t>IPR (Inward Processing Relief), customs warehousing, temporary admission, end-use relief, OPR. ReliefType, EligibilityCriteria, DutyImpact (SUSPEND / REDUCE / ZERO), application procedure.</t>
  </si>
  <si>
    <t>CUSTOMS INTELLIGENCE DATA MODEL  v3.0  —  21 Tables</t>
  </si>
  <si>
    <t>International Trader Landed Cost Engine  ·  WCO / UNCTAD TRAINS / WTO Standards</t>
  </si>
  <si>
    <t>SHEET INDEX — 21 Tables across 6 Groups</t>
  </si>
  <si>
    <t>Sheet / Table</t>
  </si>
  <si>
    <t>Group</t>
  </si>
  <si>
    <t>Description</t>
  </si>
  <si>
    <t>Tab</t>
  </si>
  <si>
    <t>DEVELOPER_NOTES</t>
  </si>
  <si>
    <t>Reference</t>
  </si>
  <si>
    <t>Architecture, queries, coding standards, security — READ FIRST</t>
  </si>
  <si>
    <t>Navy</t>
  </si>
  <si>
    <t>README</t>
  </si>
  <si>
    <t>This sheet — sheet index</t>
  </si>
  <si>
    <t>COUNTRY</t>
  </si>
  <si>
    <t>HS Hierarchy</t>
  </si>
  <si>
    <t>17 jurisdictions, ISO codes, currency, ValuationBasis (CIF/FOB)</t>
  </si>
  <si>
    <t>Teal</t>
  </si>
  <si>
    <t>HS_SECTION</t>
  </si>
  <si>
    <t>WCO Sections I–XXI</t>
  </si>
  <si>
    <t>HS_HEADING</t>
  </si>
  <si>
    <t>4-digit WCO headings</t>
  </si>
  <si>
    <t>HS_SUBHEADING</t>
  </si>
  <si>
    <t>6-digit WCO subheadings — PK=(SubheadingCode+HSVersion)</t>
  </si>
  <si>
    <t>COMMODITY_CODE</t>
  </si>
  <si>
    <t>Commodity &amp; Rates</t>
  </si>
  <si>
    <t>National 8-10 digit codes — PK=(CommodityCode+CountryCode) — NO surrogate</t>
  </si>
  <si>
    <t>Pink</t>
  </si>
  <si>
    <t>MFN_RATE</t>
  </si>
  <si>
    <t>Bound vs Applied, DutyBasisType, SpecificDuty, TRQ, ValuationBasis, Seasonal</t>
  </si>
  <si>
    <t>TARIFF_RATE</t>
  </si>
  <si>
    <t>Current summary rates — EffectiveTo IS NULL = current</t>
  </si>
  <si>
    <t>TARIFF_RATE_HIST</t>
  </si>
  <si>
    <t>Full audit history — written by DB TRIGGER only, never by app</t>
  </si>
  <si>
    <t>TRADE_AGREEMENT</t>
  </si>
  <si>
    <t>Preferences</t>
  </si>
  <si>
    <t>FTA / GSP / EPA / Customs Union master register</t>
  </si>
  <si>
    <t>Green</t>
  </si>
  <si>
    <t>PREFERENTIAL_RATE</t>
  </si>
  <si>
    <t>Preferential rates per commodity / country pair / agreement</t>
  </si>
  <si>
    <t>NEW v3 — WO/CTH/CTSH/RVC/SP criteria, cumulation, direct transport rule</t>
  </si>
  <si>
    <t>NEW v3 — EUR.1, REX, Form A, invoice declaration, validity, approved exporter</t>
  </si>
  <si>
    <t>REG_MEASURE</t>
  </si>
  <si>
    <t>Regulatory</t>
  </si>
  <si>
    <t>Licensing, prohibitions, Halal, EUDR, controlled goods — WCO measure types</t>
  </si>
  <si>
    <t>Amber</t>
  </si>
  <si>
    <t>NEW v3 — UNCTAD TRAINS NTM: SPS/TBT/inspection, fumigation, labelling, timing</t>
  </si>
  <si>
    <t>NEW v3 — Export duties, export licensing, export quotas from origin country</t>
  </si>
  <si>
    <t>NEW v3 — Country/sectoral/entity sanctions — OFAC/OTSI/EU/UN — check FIRST</t>
  </si>
  <si>
    <t>Red</t>
  </si>
  <si>
    <t>Indirect Tax</t>
  </si>
  <si>
    <t>NEW v3 — Replaces VATRate column, multi-tax (Brazil), zero-rated food, PVA, relief</t>
  </si>
  <si>
    <t>Olive</t>
  </si>
  <si>
    <t>NEW v3 — Proper excise table, specific duty amounts, suspension, drawback</t>
  </si>
  <si>
    <t>NEW v3 — Anti-dumping/countervailing/safeguard, exporter-specific, lifecycle</t>
  </si>
  <si>
    <t>NEW v3 — IPR, customs warehouse, temporary admission, end-use, OPR</t>
  </si>
  <si>
    <t>TARIFF_SOURCE</t>
  </si>
  <si>
    <t>Sync &amp; Audit</t>
  </si>
  <si>
    <t>Source URL registry, AutoApplyThresholdPct, LastSnapshotHash, poll config</t>
  </si>
  <si>
    <t>Orange</t>
  </si>
  <si>
    <t>SOURCE_SYNC_JOB</t>
  </si>
  <si>
    <t>One row per poll execution — admin monitoring</t>
  </si>
  <si>
    <t>SOURCE_SYNC_CHANGE</t>
  </si>
  <si>
    <t>One row per detected change — pending review queue + audit trail</t>
  </si>
  <si>
    <t>QUERY_EXAMPLES</t>
  </si>
  <si>
    <t>Pre-built landed cost and duty comparison queries</t>
  </si>
  <si>
    <t>COUNTRY — Jurisdiction Master (ISO 3166-1)</t>
  </si>
  <si>
    <t>CountryCode
(PK·ISO-2)</t>
  </si>
  <si>
    <t>CountryCode3
(ISO-3)</t>
  </si>
  <si>
    <t>CountryName</t>
  </si>
  <si>
    <t>Region</t>
  </si>
  <si>
    <t>TariffScheduleAuthority</t>
  </si>
  <si>
    <t>CurrencyCode
(ISO 4217)</t>
  </si>
  <si>
    <t>ValuationBasis
(CIF/FOB)</t>
  </si>
  <si>
    <t>IsActive</t>
  </si>
  <si>
    <t>AO</t>
  </si>
  <si>
    <t>AGO</t>
  </si>
  <si>
    <t>Angola</t>
  </si>
  <si>
    <t>Sub-Saharan Africa</t>
  </si>
  <si>
    <t>MINCOMER Tariff Schedule</t>
  </si>
  <si>
    <t>AOA</t>
  </si>
  <si>
    <t>CIF</t>
  </si>
  <si>
    <t>Y</t>
  </si>
  <si>
    <t>AR</t>
  </si>
  <si>
    <t>ARG</t>
  </si>
  <si>
    <t>Argentina</t>
  </si>
  <si>
    <t>South America</t>
  </si>
  <si>
    <t>AFIP NCM (MERCOSUL)</t>
  </si>
  <si>
    <t>ARS</t>
  </si>
  <si>
    <t>FOB</t>
  </si>
  <si>
    <t>AU</t>
  </si>
  <si>
    <t>AUS</t>
  </si>
  <si>
    <t>Australia</t>
  </si>
  <si>
    <t>Asia-Pacific</t>
  </si>
  <si>
    <t>ABF Customs Tariff Act 1995</t>
  </si>
  <si>
    <t>AUD</t>
  </si>
  <si>
    <t>BR</t>
  </si>
  <si>
    <t>BRA</t>
  </si>
  <si>
    <t>Brazil</t>
  </si>
  <si>
    <t>MDIC NCM (MERCOSUL)</t>
  </si>
  <si>
    <t>BRL</t>
  </si>
  <si>
    <t>CL</t>
  </si>
  <si>
    <t>CHL</t>
  </si>
  <si>
    <t>Chile</t>
  </si>
  <si>
    <t>Aduanas de Chile</t>
  </si>
  <si>
    <t>CLP</t>
  </si>
  <si>
    <t>DO</t>
  </si>
  <si>
    <t>DOM</t>
  </si>
  <si>
    <t>Dominican Republic</t>
  </si>
  <si>
    <t>Caribbean</t>
  </si>
  <si>
    <t>DGA Arancel de Aduanas</t>
  </si>
  <si>
    <t>DOP</t>
  </si>
  <si>
    <t>MU</t>
  </si>
  <si>
    <t>MUS</t>
  </si>
  <si>
    <t>Mauritius</t>
  </si>
  <si>
    <t>MRA Customs Tariff</t>
  </si>
  <si>
    <t>MUR</t>
  </si>
  <si>
    <t>MX</t>
  </si>
  <si>
    <t>MEX</t>
  </si>
  <si>
    <t>Mexico</t>
  </si>
  <si>
    <t>North America</t>
  </si>
  <si>
    <t>SAT Tarifa LIGIE</t>
  </si>
  <si>
    <t>MXN</t>
  </si>
  <si>
    <t>NA</t>
  </si>
  <si>
    <t>NAM</t>
  </si>
  <si>
    <t>Namibia</t>
  </si>
  <si>
    <t>NCS SACU Tariff Book</t>
  </si>
  <si>
    <t>NAD</t>
  </si>
  <si>
    <t>OM</t>
  </si>
  <si>
    <t>OMN</t>
  </si>
  <si>
    <t>Oman</t>
  </si>
  <si>
    <t>Middle East</t>
  </si>
  <si>
    <t>OCIPED GCC Common Customs Law</t>
  </si>
  <si>
    <t>OMR</t>
  </si>
  <si>
    <t>PH</t>
  </si>
  <si>
    <t>PHL</t>
  </si>
  <si>
    <t>Philippines</t>
  </si>
  <si>
    <t>BOC TCCP</t>
  </si>
  <si>
    <t>PHP</t>
  </si>
  <si>
    <t>SA</t>
  </si>
  <si>
    <t>SAU</t>
  </si>
  <si>
    <t>Saudi Arabia</t>
  </si>
  <si>
    <t>ZATCA GCC Common Customs Law</t>
  </si>
  <si>
    <t>SAR</t>
  </si>
  <si>
    <t>ZA</t>
  </si>
  <si>
    <t>ZAF</t>
  </si>
  <si>
    <t>South Africa</t>
  </si>
  <si>
    <t>SARS SACU Tariff Book</t>
  </si>
  <si>
    <t>ZAR</t>
  </si>
  <si>
    <t>TH</t>
  </si>
  <si>
    <t>THA</t>
  </si>
  <si>
    <t>Thailand</t>
  </si>
  <si>
    <t>Thai Customs Department Tariff</t>
  </si>
  <si>
    <t>THB</t>
  </si>
  <si>
    <t>AE</t>
  </si>
  <si>
    <t>ARE</t>
  </si>
  <si>
    <t>United Arab Emirates</t>
  </si>
  <si>
    <t>FCA GCC Common Customs Law</t>
  </si>
  <si>
    <t>AED</t>
  </si>
  <si>
    <t>GB</t>
  </si>
  <si>
    <t>GBR</t>
  </si>
  <si>
    <t>United Kingdom</t>
  </si>
  <si>
    <t>Europe</t>
  </si>
  <si>
    <t>HMRC UK Global Tariff (CDS)</t>
  </si>
  <si>
    <t>GBP</t>
  </si>
  <si>
    <t>UY</t>
  </si>
  <si>
    <t>URY</t>
  </si>
  <si>
    <t>Uruguay</t>
  </si>
  <si>
    <t>DNA NCM (MERCOSUL)</t>
  </si>
  <si>
    <t>UYU</t>
  </si>
  <si>
    <t>HS_SECTION — WCO Sections I–XXI</t>
  </si>
  <si>
    <t>SectionCode
(PK)</t>
  </si>
  <si>
    <t>SectionTitle</t>
  </si>
  <si>
    <t>ChapterRange</t>
  </si>
  <si>
    <t>Notes</t>
  </si>
  <si>
    <t>I</t>
  </si>
  <si>
    <t>Live Animals; Animal Products</t>
  </si>
  <si>
    <t>01-05</t>
  </si>
  <si>
    <t>II</t>
  </si>
  <si>
    <t>Vegetable Products</t>
  </si>
  <si>
    <t>06-14</t>
  </si>
  <si>
    <t>Incl. Ch.07 veg, Ch.08 fruit/nuts</t>
  </si>
  <si>
    <t>III</t>
  </si>
  <si>
    <t>Animal or Vegetable Fats and Oils</t>
  </si>
  <si>
    <t>15</t>
  </si>
  <si>
    <t>IV</t>
  </si>
  <si>
    <t>Prepared Foodstuffs; Beverages; Tobacco</t>
  </si>
  <si>
    <t>16-24</t>
  </si>
  <si>
    <t>Incl. Ch.20 prepared veg, Ch.22 beverages</t>
  </si>
  <si>
    <t>V</t>
  </si>
  <si>
    <t>Mineral Products</t>
  </si>
  <si>
    <t>25-27</t>
  </si>
  <si>
    <t>VI</t>
  </si>
  <si>
    <t>Products of Chemical or Allied Industries</t>
  </si>
  <si>
    <t>28-38</t>
  </si>
  <si>
    <t>VII</t>
  </si>
  <si>
    <t>Plastics; Rubber</t>
  </si>
  <si>
    <t>39-40</t>
  </si>
  <si>
    <t>VIII</t>
  </si>
  <si>
    <t>Raw Hides; Leather; Furskins</t>
  </si>
  <si>
    <t>41-43</t>
  </si>
  <si>
    <t>IX</t>
  </si>
  <si>
    <t>Wood; Cork; Straw</t>
  </si>
  <si>
    <t>44-46</t>
  </si>
  <si>
    <t>X</t>
  </si>
  <si>
    <t>Pulp; Paper; Printed Books</t>
  </si>
  <si>
    <t>47-49</t>
  </si>
  <si>
    <t>XI</t>
  </si>
  <si>
    <t>Textiles and Textile Articles</t>
  </si>
  <si>
    <t>50-63</t>
  </si>
  <si>
    <t>XII</t>
  </si>
  <si>
    <t>Footwear; Headgear; Umbrellas</t>
  </si>
  <si>
    <t>64-67</t>
  </si>
  <si>
    <t>XIII</t>
  </si>
  <si>
    <t>Stone; Plaster; Ceramics; Glass</t>
  </si>
  <si>
    <t>68-70</t>
  </si>
  <si>
    <t>XIV</t>
  </si>
  <si>
    <t>Pearls; Precious Stones; Precious Metals</t>
  </si>
  <si>
    <t>71</t>
  </si>
  <si>
    <t>XV</t>
  </si>
  <si>
    <t>Base Metals and Articles of Base Metal</t>
  </si>
  <si>
    <t>72-83</t>
  </si>
  <si>
    <t>Incl. copper, iron, steel</t>
  </si>
  <si>
    <t>XVI</t>
  </si>
  <si>
    <t>Machinery; Electrical Equipment</t>
  </si>
  <si>
    <t>84-85</t>
  </si>
  <si>
    <t>XVII</t>
  </si>
  <si>
    <t>Vehicles; Aircraft; Vessels</t>
  </si>
  <si>
    <t>86-89</t>
  </si>
  <si>
    <t>XVIII</t>
  </si>
  <si>
    <t>Optical; Photographic; Clocks; Musical Instruments</t>
  </si>
  <si>
    <t>90-92</t>
  </si>
  <si>
    <t>XIX</t>
  </si>
  <si>
    <t>Arms and Ammunition</t>
  </si>
  <si>
    <t>93</t>
  </si>
  <si>
    <t>Controlled — licensing in all jurisdictions</t>
  </si>
  <si>
    <t>XX</t>
  </si>
  <si>
    <t>Miscellaneous Manufactured Articles</t>
  </si>
  <si>
    <t>94-96</t>
  </si>
  <si>
    <t>XXI</t>
  </si>
  <si>
    <t>Works of Art; Collectors Pieces; Antiques</t>
  </si>
  <si>
    <t>97-99</t>
  </si>
  <si>
    <t>HS_HEADING — 4-Digit WCO Headings (sample: food commodities + metals)</t>
  </si>
  <si>
    <t>HeadingCode
(PK·4-digit)</t>
  </si>
  <si>
    <t>ChapterCode
(FK)</t>
  </si>
  <si>
    <t>HeadingDescription</t>
  </si>
  <si>
    <t>SectionCode
(FK)</t>
  </si>
  <si>
    <t>ClassificationNotes</t>
  </si>
  <si>
    <t>HSVersion</t>
  </si>
  <si>
    <t>0701</t>
  </si>
  <si>
    <t>07</t>
  </si>
  <si>
    <t>Potatoes, fresh or chilled</t>
  </si>
  <si>
    <t>Fresh — cooked/frozen → 2004</t>
  </si>
  <si>
    <t>HS 2022</t>
  </si>
  <si>
    <t>0710</t>
  </si>
  <si>
    <t>Vegetables, frozen</t>
  </si>
  <si>
    <t>Frozen raw veg incl. potatoes</t>
  </si>
  <si>
    <t>0801</t>
  </si>
  <si>
    <t>08</t>
  </si>
  <si>
    <t>Coconuts, Brazil nuts and cashew nuts</t>
  </si>
  <si>
    <t>Cashew → 0801.31/32</t>
  </si>
  <si>
    <t>1801</t>
  </si>
  <si>
    <t>18</t>
  </si>
  <si>
    <t>Cocoa beans, whole or broken</t>
  </si>
  <si>
    <t>Zero duty most markets</t>
  </si>
  <si>
    <t>2004</t>
  </si>
  <si>
    <t>20</t>
  </si>
  <si>
    <t>Other vegetables, prepared/preserved, frozen (not by vinegar)</t>
  </si>
  <si>
    <t>Incl. frozen chips 2004.10</t>
  </si>
  <si>
    <t>2005</t>
  </si>
  <si>
    <t>Other vegetables, prepared/preserved, not frozen</t>
  </si>
  <si>
    <t>7403</t>
  </si>
  <si>
    <t>74</t>
  </si>
  <si>
    <t>Refined copper and copper alloys, unwrought</t>
  </si>
  <si>
    <t>Metals</t>
  </si>
  <si>
    <t>DEV NOTE: PK = (SubheadingCode + HSVersion). When HS 2028 reclassifies a code, INSERT a new row with HSVersion='HS 2028' — never UPDATE. This preserves rate history tied to old codes.</t>
  </si>
  <si>
    <t>HS_SUBHEADING — 6-Digit WCO Subheadings  |  PK = (SubheadingCode + HSVersion)</t>
  </si>
  <si>
    <t>SubheadingCode
(PK·6-digit)</t>
  </si>
  <si>
    <t>HSVersion
(PK)</t>
  </si>
  <si>
    <t>HeadingCode
(FK)</t>
  </si>
  <si>
    <t>SubheadingDescription</t>
  </si>
  <si>
    <t>StatisticalUnit</t>
  </si>
  <si>
    <t>DutyBasis</t>
  </si>
  <si>
    <t>200410</t>
  </si>
  <si>
    <t>Potatoes (frozen, prepared/preserved, not by vinegar)</t>
  </si>
  <si>
    <t>kg</t>
  </si>
  <si>
    <t>Ad Valorem</t>
  </si>
  <si>
    <t>Incl. French fries, chips. Distinguish from 0710.10 (frozen raw)</t>
  </si>
  <si>
    <t>200490</t>
  </si>
  <si>
    <t>Other vegetables, mixed, frozen, prepared/preserved</t>
  </si>
  <si>
    <t>071010</t>
  </si>
  <si>
    <t>Potatoes, frozen (uncooked or cooked)</t>
  </si>
  <si>
    <t>Raw frozen — lower duty than processed 2004.10 in most markets</t>
  </si>
  <si>
    <t>180100</t>
  </si>
  <si>
    <t>Cocoa beans, whole or broken, raw or roasted</t>
  </si>
  <si>
    <t>Zero duty most markets — incentivise processing</t>
  </si>
  <si>
    <t>080131</t>
  </si>
  <si>
    <t>Cashew nuts, in shell, fresh or dried</t>
  </si>
  <si>
    <t>080132</t>
  </si>
  <si>
    <t>Cashew nuts, shelled, fresh or dried</t>
  </si>
  <si>
    <t>Higher duty common — processed product</t>
  </si>
  <si>
    <t>740311</t>
  </si>
  <si>
    <t>Copper cathodes and sections of cathodes, unwrought</t>
  </si>
  <si>
    <t>DEV NOTE: PK = (CommodityCode + CountryCode). CommodityCodeID surrogate REMOVED in v2. All FKs from MFN_RATE, VAT_RATE, AD_MEASURE, REG_MEASURE, IMPORT_CONDITION, PREFERENTIAL_RATE, SOURCE_SYNC_CHANGE now reference (CommodityCode + CountryCode) directly.</t>
  </si>
  <si>
    <t>COMMODITY_CODE — National 8-10 Digit Codes  |  PK = (CommodityCode + CountryCode)  |  No surrogate</t>
  </si>
  <si>
    <t>CommodityCode
(PK·national)</t>
  </si>
  <si>
    <t>CountryCode
(PK·ISO)</t>
  </si>
  <si>
    <t>SubheadingCode
(FK·6-digit WCO)</t>
  </si>
  <si>
    <t>HSVersion
(FK)</t>
  </si>
  <si>
    <t>NationalDescription</t>
  </si>
  <si>
    <t>SupplementaryUnit</t>
  </si>
  <si>
    <t>CodeLength</t>
  </si>
  <si>
    <t>2004100010</t>
  </si>
  <si>
    <t>Frozen potato chips (French fries), pre-fried</t>
  </si>
  <si>
    <t>10-digit</t>
  </si>
  <si>
    <t>2004100090</t>
  </si>
  <si>
    <t>Other frozen potatoes (excl. pre-fried)</t>
  </si>
  <si>
    <t>20041000</t>
  </si>
  <si>
    <t>Potatoes, frozen, prepared or preserved</t>
  </si>
  <si>
    <t>8-digit</t>
  </si>
  <si>
    <t>Potatoes, frozen, prepared or preserved (SACU)</t>
  </si>
  <si>
    <t>Batatas congeladas, preparadas ou conservadas (NCM)</t>
  </si>
  <si>
    <t>Papas congeladas preparadas o conservadas</t>
  </si>
  <si>
    <t>Potatoes, frozen, prepared or preserved (GCC CET)</t>
  </si>
  <si>
    <t>Papas congeladas preparadas o conservadas (NCM)</t>
  </si>
  <si>
    <t>1801000000</t>
  </si>
  <si>
    <t>0801320000</t>
  </si>
  <si>
    <t>7403110000</t>
  </si>
  <si>
    <t>Option B MFN table. RateCategory: APPLIED=current charged rate, BOUND=WTO ceiling, TRQ_IN_QUOTA/TRQ_OUT_QUOTA=quota-based, ANTI_DUMPING=use AD_MEASURE table instead for full detail. APPLIED &lt;= BOUND always. FK=(CommodityCode+CountryCode). Current=EffectiveTo IS NULL.</t>
  </si>
  <si>
    <t>MFN_RATE — Bound vs Applied, DutyBasisType, TRQ, Seasonal, ValuationBasis</t>
  </si>
  <si>
    <t>CommodityCode
(FK)</t>
  </si>
  <si>
    <t>CountryCode
(FK)</t>
  </si>
  <si>
    <t>RateCategory</t>
  </si>
  <si>
    <t>DutyBasisType</t>
  </si>
  <si>
    <t>BoundRate
(%·WTO ceiling)</t>
  </si>
  <si>
    <t>AppliedMFNRate
(%·actual)</t>
  </si>
  <si>
    <t>SpecificDutyAmt</t>
  </si>
  <si>
    <t>SpecificDutyUOM</t>
  </si>
  <si>
    <t>DutyExpression</t>
  </si>
  <si>
    <t>ValuationBasis</t>
  </si>
  <si>
    <t>TRQVolumeKG</t>
  </si>
  <si>
    <t>SeasonalFrom
(MM-DD)</t>
  </si>
  <si>
    <t>SeasonalTo
(MM-DD)</t>
  </si>
  <si>
    <t>EffectiveFrom</t>
  </si>
  <si>
    <t>EffectiveTo
(null=current)</t>
  </si>
  <si>
    <t>APPLIED</t>
  </si>
  <si>
    <t>AD_VALOREM</t>
  </si>
  <si>
    <t>14.4% CIF</t>
  </si>
  <si>
    <t>2022-01-01</t>
  </si>
  <si>
    <t>BOUND</t>
  </si>
  <si>
    <t>20.0% CIF (WTO bound)</t>
  </si>
  <si>
    <t>2000-01-01</t>
  </si>
  <si>
    <t>TRQ_IN_QUOTA</t>
  </si>
  <si>
    <t>0% CIF (in-quota ≤10,000t)</t>
  </si>
  <si>
    <t>TRQ_OUT_QUOTA</t>
  </si>
  <si>
    <t>14.4% CIF (out-of-quota)</t>
  </si>
  <si>
    <t>5% FOB</t>
  </si>
  <si>
    <t>2024-01-01</t>
  </si>
  <si>
    <t>30% CIF</t>
  </si>
  <si>
    <t>2023-01-01</t>
  </si>
  <si>
    <t>50% CIF (WTO bound)</t>
  </si>
  <si>
    <t>1995-01-01</t>
  </si>
  <si>
    <t>COMPOUND</t>
  </si>
  <si>
    <t>ZAR/KG</t>
  </si>
  <si>
    <t>20.77% FOB + R0.10/kg</t>
  </si>
  <si>
    <t>16% FOB (MERCOSUL CET)</t>
  </si>
  <si>
    <t>5% CIF (GCC CET)</t>
  </si>
  <si>
    <t>2003-01-01</t>
  </si>
  <si>
    <t>30% CIF (increased from 15% Jun 2024)</t>
  </si>
  <si>
    <t>2024-06-01</t>
  </si>
  <si>
    <t>20% FOB</t>
  </si>
  <si>
    <t>14% FOB (NCM)</t>
  </si>
  <si>
    <t>6% CIF</t>
  </si>
  <si>
    <t>NAD/KG</t>
  </si>
  <si>
    <t>20.77% FOB + N$0.10/kg (SACU)</t>
  </si>
  <si>
    <t>20% CIF</t>
  </si>
  <si>
    <t>0% CIF (DCTS zero rate)</t>
  </si>
  <si>
    <t>2023-06-19</t>
  </si>
  <si>
    <t>Summary rate table. MFN detail → MFN_RATE. VAT detail → VAT_RATE. Excise → EXCISE. AppliedMFNRate here for quick lookup. FK=(CommodityCode+CountryCode). DB TRIGGER writes old row to TARIFF_RATE_HIST on every UPDATE.</t>
  </si>
  <si>
    <t>TARIFF_RATE — Current Summary Rates  |  EffectiveTo IS NULL = current  |  Trigger → TARIFF_RATE_HIST</t>
  </si>
  <si>
    <t>SubheadingCode</t>
  </si>
  <si>
    <t>AppliedMFNRate
(%·see MFN_RATE)</t>
  </si>
  <si>
    <t>LastReviewedAt</t>
  </si>
  <si>
    <t>DataSource+URL</t>
  </si>
  <si>
    <t>2024-01-15</t>
  </si>
  <si>
    <t>UK Global Tariff — trade-tariff.service.gov.uk/api/v2/commodities/2004100010</t>
  </si>
  <si>
    <t>2024-03-01</t>
  </si>
  <si>
    <t>ABF Customs Tariff — abf.gov.au</t>
  </si>
  <si>
    <t>2024-01-10</t>
  </si>
  <si>
    <t>Thai Customs — igtf.customs.go.th</t>
  </si>
  <si>
    <t>2024-02-01</t>
  </si>
  <si>
    <t>SARS SACU Tariff — sars.gov.za</t>
  </si>
  <si>
    <t>16% FOB (NCM)</t>
  </si>
  <si>
    <t>2024-01-05</t>
  </si>
  <si>
    <t>MDIC NCM — mdic.gov.br</t>
  </si>
  <si>
    <t>2024-01-08</t>
  </si>
  <si>
    <t>SAT LIGIE — sat.gob.mx</t>
  </si>
  <si>
    <t>FCA GCC Tariff — fcsc.gov.ae</t>
  </si>
  <si>
    <t>2020-07-01</t>
  </si>
  <si>
    <t>ZATCA — zatca.gov.sa</t>
  </si>
  <si>
    <t>2021-04-16</t>
  </si>
  <si>
    <t>Oman Customs — customs.gov.om</t>
  </si>
  <si>
    <t>2024-01-12</t>
  </si>
  <si>
    <t>BOC Philippines — customs.gov.ph</t>
  </si>
  <si>
    <t>2024-01-06</t>
  </si>
  <si>
    <t>AFIP — afip.gob.ar</t>
  </si>
  <si>
    <t>2024-01-07</t>
  </si>
  <si>
    <t>Aduanas Chile — aduana.cl</t>
  </si>
  <si>
    <t>2024-01-09</t>
  </si>
  <si>
    <t>DNA Uruguay — aduanas.gub.uy</t>
  </si>
  <si>
    <t>NCS Namibia — mof.gov.na</t>
  </si>
  <si>
    <t>30% CIF (increased Jun 2024)</t>
  </si>
  <si>
    <t>2024-06-15</t>
  </si>
  <si>
    <t>MRA Mauritius — mra.mu</t>
  </si>
  <si>
    <t>2024-01-20</t>
  </si>
  <si>
    <t>MINCOMER Angola</t>
  </si>
  <si>
    <t>2024-01-11</t>
  </si>
  <si>
    <t>DGA Dominican Republic — aduanas.gob.do</t>
  </si>
  <si>
    <t>0% CIF (DCTS)</t>
  </si>
  <si>
    <t>UK Global Tariff — trade-tariff.service.gov.uk/api/v2/commodities/1801000000</t>
  </si>
  <si>
    <t>5.1% CIF</t>
  </si>
  <si>
    <t>2021-01-01</t>
  </si>
  <si>
    <t>UK Global Tariff — trade-tariff.service.gov.uk/api/v2/commodities/0801320000</t>
  </si>
  <si>
    <t>0% CIF</t>
  </si>
  <si>
    <t>UK Global Tariff — trade-tariff.service.gov.uk/api/v2/commodities/7403110000</t>
  </si>
  <si>
    <t>Written by DB TRIGGER on TARIFF_RATE (AFTER UPDATE) only. Application NEVER writes directly here. Trigger copies old row before update is applied. Guarantees audit completeness regardless of which code path changed the rate.</t>
  </si>
  <si>
    <t>TARIFF_RATE_HIST — Full Audit History  |  DB TRIGGER only — app never writes here directly</t>
  </si>
  <si>
    <t>HistoryID
(PK·auto)</t>
  </si>
  <si>
    <t>RateType</t>
  </si>
  <si>
    <t>OldRate
(%)</t>
  </si>
  <si>
    <t>NewRate
(%)</t>
  </si>
  <si>
    <t>ChangeType</t>
  </si>
  <si>
    <t>EffectiveTo</t>
  </si>
  <si>
    <t>LegalBasis</t>
  </si>
  <si>
    <t>ChangedBy
(auto/user)</t>
  </si>
  <si>
    <t>SyncJobID
(FK,null=manual)</t>
  </si>
  <si>
    <t>IMPORT_DUTY</t>
  </si>
  <si>
    <t>INCREASE</t>
  </si>
  <si>
    <t>2024-05-31</t>
  </si>
  <si>
    <t>Mauritius Budget 2024-25</t>
  </si>
  <si>
    <t>auto</t>
  </si>
  <si>
    <t>JOB_0042</t>
  </si>
  <si>
    <t>DECREASE</t>
  </si>
  <si>
    <t>2022-12-31</t>
  </si>
  <si>
    <t>Thailand WTO MFN adjustment 2023</t>
  </si>
  <si>
    <t>JOB_0018</t>
  </si>
  <si>
    <t>VAT</t>
  </si>
  <si>
    <t>Convênio ICMS 142/2022</t>
  </si>
  <si>
    <t>JOB_0021</t>
  </si>
  <si>
    <t>2021-12-31</t>
  </si>
  <si>
    <t>UK Global Tariff — SI 2021/1046</t>
  </si>
  <si>
    <t>JOB_0005</t>
  </si>
  <si>
    <t>2020-06-30</t>
  </si>
  <si>
    <t>Saudi VAT Royal Decree M/113</t>
  </si>
  <si>
    <t>admin</t>
  </si>
  <si>
    <t>TRADE_AGREEMENT — FTA / GSP / EPA / Customs Union Master Register</t>
  </si>
  <si>
    <t>AgreementCode
(PK)</t>
  </si>
  <si>
    <t>AgreementName</t>
  </si>
  <si>
    <t>AgreementType</t>
  </si>
  <si>
    <t>PartiesISO</t>
  </si>
  <si>
    <t>InForceFrom</t>
  </si>
  <si>
    <t>InForceTo
(null=current)</t>
  </si>
  <si>
    <t>AdministeredBy</t>
  </si>
  <si>
    <t>UK-AUSFTA</t>
  </si>
  <si>
    <t>UK-Australia Free Trade Agreement</t>
  </si>
  <si>
    <t>FTA</t>
  </si>
  <si>
    <t>GB,AU</t>
  </si>
  <si>
    <t>2023-05-31</t>
  </si>
  <si>
    <t>DBTIS / DFAT</t>
  </si>
  <si>
    <t>Tariff elimination over 15 years for ag goods</t>
  </si>
  <si>
    <t>UK-GCC</t>
  </si>
  <si>
    <t>UK-GCC Free Trade Agreement</t>
  </si>
  <si>
    <t>GB,AE,SA,OM,BH,KW,QA</t>
  </si>
  <si>
    <t>DBTIS / GCC Secretariat</t>
  </si>
  <si>
    <t>UK-CL</t>
  </si>
  <si>
    <t>UK-Chile Association Agreement</t>
  </si>
  <si>
    <t>GB,CL</t>
  </si>
  <si>
    <t>DBTIS</t>
  </si>
  <si>
    <t>Rolled over from EU-Chile Agreement</t>
  </si>
  <si>
    <t>UK-SACUM</t>
  </si>
  <si>
    <t>UK-SACUM Economic Partnership Agreement</t>
  </si>
  <si>
    <t>EPA</t>
  </si>
  <si>
    <t>GB,ZA,NA,LS,SZ,MZ</t>
  </si>
  <si>
    <t>DBTIS / SACU Secretariat</t>
  </si>
  <si>
    <t>CPTPP</t>
  </si>
  <si>
    <t>Comprehensive and Progressive Agreement for Trans-Pacific Partnership</t>
  </si>
  <si>
    <t>GB,AU,JP,CA,MX,NZ,SG,VN,BN,PE,CL,MY</t>
  </si>
  <si>
    <t>2024-12-15</t>
  </si>
  <si>
    <t>MFAT NZ</t>
  </si>
  <si>
    <t>UK accession Dec 2024</t>
  </si>
  <si>
    <t>UK-DCTS-STD</t>
  </si>
  <si>
    <t>UK DCTS Standard Preferences</t>
  </si>
  <si>
    <t>GSP</t>
  </si>
  <si>
    <t>MU,PH,DO</t>
  </si>
  <si>
    <t>HMRC / DBTIS</t>
  </si>
  <si>
    <t>Replaces UK GSP from Jun 2023</t>
  </si>
  <si>
    <t>UK-DCTS-ELDP</t>
  </si>
  <si>
    <t>UK DCTS Enhanced Preferences (ELDP)</t>
  </si>
  <si>
    <t>Angola enhanced — 0%</t>
  </si>
  <si>
    <t>MERCOSUL-CET</t>
  </si>
  <si>
    <t>MERCOSUL Common External Tariff</t>
  </si>
  <si>
    <t>CU</t>
  </si>
  <si>
    <t>BR,AR,UY,PY</t>
  </si>
  <si>
    <t>MERCOSUL Secretariat</t>
  </si>
  <si>
    <t>Common external tariff</t>
  </si>
  <si>
    <t>GCC-CET</t>
  </si>
  <si>
    <t>Gulf Cooperation Council Common External Tariff</t>
  </si>
  <si>
    <t>AE,SA,OM,BH,KW,QA</t>
  </si>
  <si>
    <t>GCC Secretariat</t>
  </si>
  <si>
    <t>5% standard rate</t>
  </si>
  <si>
    <t>SACU-CET</t>
  </si>
  <si>
    <t>Southern African Customs Union CET</t>
  </si>
  <si>
    <t>ZA,NA,LS,SZ,BW</t>
  </si>
  <si>
    <t>1969-01-01</t>
  </si>
  <si>
    <t>SARS / SACU Secretariat</t>
  </si>
  <si>
    <t>Uniform external tariff</t>
  </si>
  <si>
    <t>ATIGA</t>
  </si>
  <si>
    <t>ASEAN Trade in Goods Agreement</t>
  </si>
  <si>
    <t>TH,PH,MY,SG,VN,ID,MM,LA,KH,BN</t>
  </si>
  <si>
    <t>2010-01-01</t>
  </si>
  <si>
    <t>ASEAN Secretariat</t>
  </si>
  <si>
    <t>ASEAN intra-regional</t>
  </si>
  <si>
    <t>PREFERENTIAL_RATE — FTA/GSP/EPA Rates  |  FK=(CommodityCode+ImportCountryCode)</t>
  </si>
  <si>
    <t>ImportCountryCode
(FK)</t>
  </si>
  <si>
    <t>ExportCountryCode
(origin)</t>
  </si>
  <si>
    <t>AgreementCode
(FK)</t>
  </si>
  <si>
    <t>PrefRate
(%)</t>
  </si>
  <si>
    <t>StagingCategory</t>
  </si>
  <si>
    <t>Partial</t>
  </si>
  <si>
    <t>7.2% yr1 → 0% over 15 yrs</t>
  </si>
  <si>
    <t>Immediate</t>
  </si>
  <si>
    <t>0% on entry into force</t>
  </si>
  <si>
    <t>Zero for SACU origin</t>
  </si>
  <si>
    <t>Zero for Namibia origin</t>
  </si>
  <si>
    <t>DCTS enhanced — 0%</t>
  </si>
  <si>
    <t>GSP Standard — 0%</t>
  </si>
  <si>
    <t>0% for Chilean origin</t>
  </si>
  <si>
    <t>CA</t>
  </si>
  <si>
    <t>Partial staging</t>
  </si>
  <si>
    <t>CPTPP intra-party</t>
  </si>
  <si>
    <t>ASEAN intra-bloc</t>
  </si>
  <si>
    <t>Staging TBD</t>
  </si>
  <si>
    <t>UK-GCC — agreed in principle</t>
  </si>
  <si>
    <t>NEW v3. Structured origin criteria — replace the free-text RuleOfOriginSummary in PREFERENTIAL_RATE. OriginCriterion: WO=Wholly Obtained, CTH=Change in Tariff Heading, CTSH=Change in Subheading, RVC=Regional Value Content %, SP=Sufficient Processing. FK=(CommodityCode+AgreementCode+ExportCountryCode).</t>
  </si>
  <si>
    <t>RULES_OF_ORIGIN — WTO/WCO Origin Criteria  |  Structured replacement of free-text RulesOfOrigin  |  NEW v3</t>
  </si>
  <si>
    <t>ExportCountryCode
(FK)</t>
  </si>
  <si>
    <t>OriginCriterion
(WO/CTH/CTSH/RVC/SP)</t>
  </si>
  <si>
    <t>RVCThresholdPct
(if RVC)</t>
  </si>
  <si>
    <t>AllowedTolerance
(%·non-orig material)</t>
  </si>
  <si>
    <t>CumulationRule</t>
  </si>
  <si>
    <t>DirectTransportRequired</t>
  </si>
  <si>
    <t>ProofOfOriginDocCode
(see ORIGIN_DOCUMENT)</t>
  </si>
  <si>
    <t>CTH</t>
  </si>
  <si>
    <t>No cumulation with third parties</t>
  </si>
  <si>
    <t>EUR1</t>
  </si>
  <si>
    <t>Change in Tariff Heading from Ch.07 required</t>
  </si>
  <si>
    <t>Diagonal SACUM cumulation permitted</t>
  </si>
  <si>
    <t>SP</t>
  </si>
  <si>
    <t>No cumulation requirement</t>
  </si>
  <si>
    <t>GSP_ORIGIN_DECL</t>
  </si>
  <si>
    <t>Sufficient processing: must be cooked/prepared from raw potatoes in Angola</t>
  </si>
  <si>
    <t>No diagonal cumulation</t>
  </si>
  <si>
    <t>RVC</t>
  </si>
  <si>
    <t>CPTPP party cumulation permitted</t>
  </si>
  <si>
    <t>CPTPP_CERT</t>
  </si>
  <si>
    <t>RVC build-up or net cost method</t>
  </si>
  <si>
    <t>ASEAN cumulation permitted</t>
  </si>
  <si>
    <t>FORM_D</t>
  </si>
  <si>
    <t>ASEAN Form D certificate of origin</t>
  </si>
  <si>
    <t>WO</t>
  </si>
  <si>
    <t>N/A — wholly obtained</t>
  </si>
  <si>
    <t>Cocoa beans grown and harvested in AO</t>
  </si>
  <si>
    <t>No cumulation</t>
  </si>
  <si>
    <t>Shelling in Mauritius constitutes sufficient processing</t>
  </si>
  <si>
    <t>NEW v3. Documentary proof required to claim preferential rate at customs. DocumentCode links from RULES_OF_ORIGIN.ProofOfOriginDocCode. ValueThresholdLocal: below this amount, simplified proof (invoice declaration) may be used instead.</t>
  </si>
  <si>
    <t>ORIGIN_DOCUMENT — Proof of Origin Documents Required per Trade Agreement  |  NEW v3</t>
  </si>
  <si>
    <t>DocumentCode
(PK)</t>
  </si>
  <si>
    <t>DocumentName</t>
  </si>
  <si>
    <t>IssuingAuthority</t>
  </si>
  <si>
    <t>ValidityDays
(null=no expiry)</t>
  </si>
  <si>
    <t>ValueThresholdLocal
(simplified proof below)</t>
  </si>
  <si>
    <t>ApprovedExporterRequired</t>
  </si>
  <si>
    <t>TemplateURL</t>
  </si>
  <si>
    <t>EUR.1 Movement Certificate</t>
  </si>
  <si>
    <t>Origin customs authority at export</t>
  </si>
  <si>
    <t>12 months</t>
  </si>
  <si>
    <t>N</t>
  </si>
  <si>
    <t>https://www.gov.uk/guidance/get-proof-of-origin-for-your-goods</t>
  </si>
  <si>
    <t>Standard proof for most UK FTAs</t>
  </si>
  <si>
    <t>SARS / SACU issuing office</t>
  </si>
  <si>
    <t>Chilean customs authority</t>
  </si>
  <si>
    <t>GSP Origin Declaration (invoice)</t>
  </si>
  <si>
    <t>Exporter self-declaration</t>
  </si>
  <si>
    <t>https://www.gov.uk/guidance/declaring-goods-as-originating-under-the-dcts</t>
  </si>
  <si>
    <t>Value limit £6,000 for non-approved exporters</t>
  </si>
  <si>
    <t>REX</t>
  </si>
  <si>
    <t>REX Statement (Registered Exporter)</t>
  </si>
  <si>
    <t>Registered Exporter REX number</t>
  </si>
  <si>
    <t>https://taxation-customs.ec.europa.eu/customs-4/calculation-customs-duties/rules-origin/general-aspects-preferential-origin/registered-exporter-system-rex_en</t>
  </si>
  <si>
    <t>Above £6,000 — REX registration required</t>
  </si>
  <si>
    <t>CPTPP Certificate of Origin</t>
  </si>
  <si>
    <t>Approved certifying body or self-certification</t>
  </si>
  <si>
    <t>https://www.gov.uk/guidance/cptpp-tariff-preference-rules-and-origin-procedures</t>
  </si>
  <si>
    <t>Self-certification permitted for CPTPP</t>
  </si>
  <si>
    <t>ASEAN Form D Certificate of Origin</t>
  </si>
  <si>
    <t>National ASEAN issuing authority</t>
  </si>
  <si>
    <t>https://asean.org/asean-economic-community/seamless-asean-trade/</t>
  </si>
  <si>
    <t>Value threshold USD 200 for back-to-back COO</t>
  </si>
  <si>
    <t>REG_MEASURE — Regulatory &amp; Licensing Measures (WCO measure types)  |  FK=(CommodityCode+CountryCode)</t>
  </si>
  <si>
    <t>MeasureType
(WCO code)</t>
  </si>
  <si>
    <t>MeasureDescription</t>
  </si>
  <si>
    <t>LicenceRequired</t>
  </si>
  <si>
    <t>LicensingAuthority</t>
  </si>
  <si>
    <t>IsProhibited</t>
  </si>
  <si>
    <t>715</t>
  </si>
  <si>
    <t>Phytosanitary certificate (plant health)</t>
  </si>
  <si>
    <t>APHA</t>
  </si>
  <si>
    <t>Required all vegetable imports — see IMPORT_CONDITION for detail</t>
  </si>
  <si>
    <t>LIC</t>
  </si>
  <si>
    <t>Import licence — biosecurity declaration</t>
  </si>
  <si>
    <t>ABF / DAFF</t>
  </si>
  <si>
    <t>BICON requirement</t>
  </si>
  <si>
    <t>HALAL</t>
  </si>
  <si>
    <t>Halal Certification Required</t>
  </si>
  <si>
    <t>SASO / SFDA</t>
  </si>
  <si>
    <t>GCC Halal Standard GSO 2055</t>
  </si>
  <si>
    <t>ESMA / MOIAT</t>
  </si>
  <si>
    <t>MARA / CIOG</t>
  </si>
  <si>
    <t>ANV</t>
  </si>
  <si>
    <t>ANVISA registration/notification</t>
  </si>
  <si>
    <t>ANVISA</t>
  </si>
  <si>
    <t>Foreign co. must appoint BR representative</t>
  </si>
  <si>
    <t>SAGARPA</t>
  </si>
  <si>
    <t>Phytosanitary import permit</t>
  </si>
  <si>
    <t>SENASICA</t>
  </si>
  <si>
    <t>FDA</t>
  </si>
  <si>
    <t>Food import licence</t>
  </si>
  <si>
    <t>Thai FDA</t>
  </si>
  <si>
    <t>Pre-import notification required</t>
  </si>
  <si>
    <t>EUDR</t>
  </si>
  <si>
    <t>EUDR Due Diligence Statement</t>
  </si>
  <si>
    <t>FCA (UK equiv TBD)</t>
  </si>
  <si>
    <t>2025-12-30</t>
  </si>
  <si>
    <t>UK expected to mirror EU EUDR</t>
  </si>
  <si>
    <t>END</t>
  </si>
  <si>
    <t>End-use authorisation (if re-exported)</t>
  </si>
  <si>
    <t>HMRC</t>
  </si>
  <si>
    <t>Only when claiming end-use relief</t>
  </si>
  <si>
    <t>NEW v3. UNCTAD TRAINS Non-Tariff Measure (NTM) codes. NTMCategory: A=SPS (fumigation→A14, phytosanitary→A11), B=TBT (labelling→B31, packaging→B32), C=Pre-shipment inspection. TimingRequirement: PRE_SHIPMENT / AT_BORDER / POST_ARRIVAL. IsMandatory=N means recommended but not legally required. FK=(CommodityCode + CountryCode). OriginCountryCode=NULL means applies to all origins.</t>
  </si>
  <si>
    <t>IMPORT_CONDITION — UNCTAD TRAINS NTM Measures  |  SPS/TBT/Inspection/Handling/Packaging  |  NEW v3</t>
  </si>
  <si>
    <t>CountryCode
(FK·import dest)</t>
  </si>
  <si>
    <t>OriginCountryCode
(null=all origins)</t>
  </si>
  <si>
    <t>NTMCode
(UNCTAD TRAINS)</t>
  </si>
  <si>
    <t>NTMCategory
(SPS/TBT/etc)</t>
  </si>
  <si>
    <t>ConditionDescription</t>
  </si>
  <si>
    <t>TreatmentSpecification</t>
  </si>
  <si>
    <t>CertifyingAuthority</t>
  </si>
  <si>
    <t>IssuingLocation
(ORIGIN/DEST/EITHER)</t>
  </si>
  <si>
    <t>TimingRequirement</t>
  </si>
  <si>
    <t>IsMandatory</t>
  </si>
  <si>
    <t>DocumentCode</t>
  </si>
  <si>
    <t>A14</t>
  </si>
  <si>
    <t>SPS</t>
  </si>
  <si>
    <t>Fumigation certificate required</t>
  </si>
  <si>
    <t>Methyl bromide 32g/m³ for 24hrs at min 10°C — per DAFF standard</t>
  </si>
  <si>
    <t>DAFF-approved fumigator</t>
  </si>
  <si>
    <t>ORIGIN</t>
  </si>
  <si>
    <t>PRE_SHIPMENT</t>
  </si>
  <si>
    <t>FUMIG_CERT</t>
  </si>
  <si>
    <t>All potato products entering AU</t>
  </si>
  <si>
    <t>A11</t>
  </si>
  <si>
    <t>Phytosanitary certificate required</t>
  </si>
  <si>
    <t>Issued by NPPO (National Plant Protection Organisation) of origin country</t>
  </si>
  <si>
    <t>Origin country NPPO</t>
  </si>
  <si>
    <t>PHYTO_CERT</t>
  </si>
  <si>
    <t>Mandatory for all vegetable products</t>
  </si>
  <si>
    <t>Issued by NPPO of origin country</t>
  </si>
  <si>
    <t>B31</t>
  </si>
  <si>
    <t>TBT</t>
  </si>
  <si>
    <t>Arabic language labelling required</t>
  </si>
  <si>
    <t>Product name, ingredients, net weight, shelf life, storage conditions, country of origin in Arabic</t>
  </si>
  <si>
    <t>Saudi Standards, Metrology and Quality Org (SASO)</t>
  </si>
  <si>
    <t>DESTINATION</t>
  </si>
  <si>
    <t>AT_BORDER</t>
  </si>
  <si>
    <t>LABEL_CERT</t>
  </si>
  <si>
    <t>GCC Labelling Regulation — applies AE/SA/OM/BH/KW/QA</t>
  </si>
  <si>
    <t>As per GCC Labelling Regulation GSO 9</t>
  </si>
  <si>
    <t>C1</t>
  </si>
  <si>
    <t>INSPECTION</t>
  </si>
  <si>
    <t>Pre-shipment inspection required</t>
  </si>
  <si>
    <t>Physical inspection and sampling by BOC-accredited surveyor at port of loading</t>
  </si>
  <si>
    <t>BOC-accredited surveyor</t>
  </si>
  <si>
    <t>PSI_CERT</t>
  </si>
  <si>
    <t>B32</t>
  </si>
  <si>
    <t>Portuguese labelling and ANVISA product notification</t>
  </si>
  <si>
    <t>Label in Portuguese; nutritional table per RDC 429/2020; ANVISA notification number on label</t>
  </si>
  <si>
    <t>ANVISA_NOTIF</t>
  </si>
  <si>
    <t>ANVISA product notification required before import</t>
  </si>
  <si>
    <t>A99</t>
  </si>
  <si>
    <t>EUDR Supply Chain Due Diligence</t>
  </si>
  <si>
    <t>GPS coordinates of origin plots; supply chain mapping to plantation level; due diligence statement</t>
  </si>
  <si>
    <t>FCA (UK equivalent authority TBD)</t>
  </si>
  <si>
    <t>EUDR_STMT</t>
  </si>
  <si>
    <t>UK EUDR expected to mirror EU regulation</t>
  </si>
  <si>
    <t>ISPM 15 wood packaging treatment (if wood pallets used)</t>
  </si>
  <si>
    <t>Heat treatment 56°C for 30 continuous minutes throughout wood material (HT) or methyl bromide</t>
  </si>
  <si>
    <t>IPPC-accredited treatment provider</t>
  </si>
  <si>
    <t>ISPM15_MARK</t>
  </si>
  <si>
    <t>Applies globally for any solid wood packaging — not commodity-specific</t>
  </si>
  <si>
    <t>Methyl bromide treatment per DAFF biosecurity import conditions (BICON)</t>
  </si>
  <si>
    <t>Nuts — BICON requirement</t>
  </si>
  <si>
    <t>NEW v3. Export-side measures from the ORIGIN country perspective. ExportDutyRate: rate applied by the exporting country on this commodity leaving. Affects supplier pricing and trade feasibility — must be included in landed cost model. MeasureType: EXPORT_DUTY / EXPORT_LICENCE / EXPORT_QUOTA / EXPORT_RESTRICTION / EXPORT_RESTRICTION_PROHIBITION. ExportVATRefundEligible: most countries zero-rate exports — flag where they do NOT.</t>
  </si>
  <si>
    <t>EXPORT_MEASURE — Export Duties, Licensing &amp; Restrictions from Origin Country Perspective  |  NEW v3</t>
  </si>
  <si>
    <t>ExportCountryCode
(FK·origin)</t>
  </si>
  <si>
    <t>MeasureType</t>
  </si>
  <si>
    <t>ExportDutyRate
(%)</t>
  </si>
  <si>
    <t>ExportDutyBasis</t>
  </si>
  <si>
    <t>QuotaVolumeKG
(if applicable)</t>
  </si>
  <si>
    <t>ExportVATRefundEligible</t>
  </si>
  <si>
    <t>EXPORT_DUTY</t>
  </si>
  <si>
    <t>Argentine Res. AFIP</t>
  </si>
  <si>
    <t>Argentina applies export duties on agricultural goods — rate varies; potato chips currently 0% but monitor</t>
  </si>
  <si>
    <t>EXPORT_RESTRICTION</t>
  </si>
  <si>
    <t>MAPA Brazil</t>
  </si>
  <si>
    <t>Brazil periodically restricts raw cocoa bean exports to encourage domestic processing — monitor</t>
  </si>
  <si>
    <t>CD</t>
  </si>
  <si>
    <t>DRC Mining Code</t>
  </si>
  <si>
    <t>DRC applies 10% export duty on copper concentrates to incentivise in-country refining</t>
  </si>
  <si>
    <t>ID</t>
  </si>
  <si>
    <t>Indonesian Ministry of Trade</t>
  </si>
  <si>
    <t>Indonesia Trade Reg</t>
  </si>
  <si>
    <t>Indonesia requires export approval for certain food commodities — palm oil precedent</t>
  </si>
  <si>
    <t>IN</t>
  </si>
  <si>
    <t>DGFT India</t>
  </si>
  <si>
    <t>2023-08-01</t>
  </si>
  <si>
    <t>DGFT Notification 2023</t>
  </si>
  <si>
    <t>India periodically restricts cashew kernel exports — check current DGFT notifications before contracting</t>
  </si>
  <si>
    <t>GH</t>
  </si>
  <si>
    <t>EXPORT_LICENCE</t>
  </si>
  <si>
    <t>Ghana Cocoa Board (COCOBOD)</t>
  </si>
  <si>
    <t>COCOBOD Act</t>
  </si>
  <si>
    <t>All cocoa exports from Ghana must be channelled through COCOBOD — private export not permitted</t>
  </si>
  <si>
    <t>CI</t>
  </si>
  <si>
    <t>Conseil Café Cacao (CCC)</t>
  </si>
  <si>
    <t>CCC Regulation</t>
  </si>
  <si>
    <t>Ivory Coast cocoa export licensing through CCC — annual export quotas allocated</t>
  </si>
  <si>
    <t>CRITICAL: Query this table FIRST before calculating landed cost. A sanctioned trade is ILLEGAL regardless of duty rates. SanctionsType: COUNTRY (blanket), SECTORAL (industry-specific), ENTITY (named individuals/companies), COMMODITY (specific goods). AdministeringBody: OFAC (USA), OTSI (UK), EU_CFSP (EU), UNSC (UN). IsActive=Y means currently in force. Application must re-check on every trade, not cache.</t>
  </si>
  <si>
    <t>SANCTIONS_MEASURE — Country/Sectoral/Entity Sanctions  |  CHECK FIRST before any landed cost calc  |  NEW v3</t>
  </si>
  <si>
    <t>SanctionID
(PK)</t>
  </si>
  <si>
    <t>SanctionsType</t>
  </si>
  <si>
    <t>ImportCountryCode
(FK,null=any)</t>
  </si>
  <si>
    <t>ExportCountryCode
(FK,null=any)</t>
  </si>
  <si>
    <t>CommodityCode
(FK,null=any commodity)</t>
  </si>
  <si>
    <t>SubheadingCode
(null=any)</t>
  </si>
  <si>
    <t>AdministeringBody</t>
  </si>
  <si>
    <t>SanctionsRegime</t>
  </si>
  <si>
    <t>SANC001</t>
  </si>
  <si>
    <t>RU</t>
  </si>
  <si>
    <t>OFAC</t>
  </si>
  <si>
    <t>Russia Sanctions</t>
  </si>
  <si>
    <t>Comprehensive sanctions on Russia — most goods prohibited</t>
  </si>
  <si>
    <t>2022-02-24</t>
  </si>
  <si>
    <t>US Executive Orders 14024, 14066, 14068</t>
  </si>
  <si>
    <t>SANC002</t>
  </si>
  <si>
    <t>OTSI</t>
  </si>
  <si>
    <t>Russia Sanctions (UK)</t>
  </si>
  <si>
    <t>UK comprehensive sanctions on Russia</t>
  </si>
  <si>
    <t>2022-03-01</t>
  </si>
  <si>
    <t>The Russia (Sanctions) (EU Exit) Regulations 2019 as amended</t>
  </si>
  <si>
    <t>SANC003</t>
  </si>
  <si>
    <t>EU_CFSP</t>
  </si>
  <si>
    <t>Russia Sanctions (EU)</t>
  </si>
  <si>
    <t>EU comprehensive sanctions on Russia — 14 packages</t>
  </si>
  <si>
    <t>2022-02-23</t>
  </si>
  <si>
    <t>EU Council Regulation 833/2014 as amended</t>
  </si>
  <si>
    <t>SANC004</t>
  </si>
  <si>
    <t>BY</t>
  </si>
  <si>
    <t>Belarus Sanctions (UK)</t>
  </si>
  <si>
    <t>UK sanctions on Belarus</t>
  </si>
  <si>
    <t>2021-06-21</t>
  </si>
  <si>
    <t>The Belarus (Sanctions) (EU Exit) Regulations 2019</t>
  </si>
  <si>
    <t>SANC005</t>
  </si>
  <si>
    <t>IR</t>
  </si>
  <si>
    <t>Iran Sanctions</t>
  </si>
  <si>
    <t>Comprehensive OFAC sanctions on Iran</t>
  </si>
  <si>
    <t>1979-01-01</t>
  </si>
  <si>
    <t>IEEPA, CISADA, IFCA</t>
  </si>
  <si>
    <t>SANC006</t>
  </si>
  <si>
    <t>KP</t>
  </si>
  <si>
    <t>UNSC</t>
  </si>
  <si>
    <t>North Korea Sanctions</t>
  </si>
  <si>
    <t>UN comprehensive sanctions — virtually all trade prohibited</t>
  </si>
  <si>
    <t>2006-10-14</t>
  </si>
  <si>
    <t>UNSC Resolution 1718 and subsequent resolutions</t>
  </si>
  <si>
    <t>SANC007</t>
  </si>
  <si>
    <t>SECTORAL</t>
  </si>
  <si>
    <t>Russia Metals Sanctions (UK)</t>
  </si>
  <si>
    <t>UK ban on import of Russian copper products</t>
  </si>
  <si>
    <t>2022-07-21</t>
  </si>
  <si>
    <t>The Russia (Sanctions) (EU Exit) Regulations 2019 — Schedule 2</t>
  </si>
  <si>
    <t>SANC008</t>
  </si>
  <si>
    <t>Russia Origin Goods (EU)</t>
  </si>
  <si>
    <t>EU restrictions on certain Russian origin agricultural goods</t>
  </si>
  <si>
    <t>2022-03-15</t>
  </si>
  <si>
    <t>EU Council Regulation 2022/428</t>
  </si>
  <si>
    <t>SANC009</t>
  </si>
  <si>
    <t>COMMODITY</t>
  </si>
  <si>
    <t>Arms Embargo</t>
  </si>
  <si>
    <t>UN arms embargo — HS Section XIX — applies to multiple regimes</t>
  </si>
  <si>
    <t>1990-01-01</t>
  </si>
  <si>
    <t>Multiple UNSC Resolutions — check specific country</t>
  </si>
  <si>
    <t>SANC010</t>
  </si>
  <si>
    <t>MM</t>
  </si>
  <si>
    <t>Myanmar Sanctions (UK)</t>
  </si>
  <si>
    <t>UK targeted sanctions on Myanmar — financial and trade restrictions</t>
  </si>
  <si>
    <t>2021-02-25</t>
  </si>
  <si>
    <t>The Myanmar (Sanctions) Regulations 2021</t>
  </si>
  <si>
    <t>NEW v3 — Replaces VATRate column in TARIFF_RATE. One row per TaxType per commodity per country. Brazil may have 5 rows (II+IPI+PIS+COFINS+ICMS). UK frozen potato chips = 0% (zero-rated food). VATBasis: CUSTOMS_VALUE_PLUS_DUTY (most common — VAT stacks on duty), CUSTOMS_VALUE_ONLY, TRANSACTION_VALUE. PostponedAccounting: UK PVA — VAT declared on return, not paid at border (major cash flow benefit). Current rate = EffectiveTo IS NULL.</t>
  </si>
  <si>
    <t>VAT_RATE — Indirect Tax Rates by Commodity by Country  |  Replaces VATRate column  |  NEW v3</t>
  </si>
  <si>
    <t>TaxType</t>
  </si>
  <si>
    <t>TaxCategory
(STANDARD/REDUCED/ZERO/EXEMPT)</t>
  </si>
  <si>
    <t>Rate
(%)</t>
  </si>
  <si>
    <t>VATBasis</t>
  </si>
  <si>
    <t>PostponedAccounting
(UK PVA etc)</t>
  </si>
  <si>
    <t>ReliefAvailable</t>
  </si>
  <si>
    <t>ReliefSchemeRef</t>
  </si>
  <si>
    <t>StateOrProvince
(BR ICMS)</t>
  </si>
  <si>
    <t>ZERO</t>
  </si>
  <si>
    <t>CUSTOMS_VALUE_PLUS_DUTY</t>
  </si>
  <si>
    <t>PVA</t>
  </si>
  <si>
    <t>VATA 1994 Schedule 8 Group 1</t>
  </si>
  <si>
    <t>UK VAT zero-rating for food — chips/fries are zero-rated</t>
  </si>
  <si>
    <t>STANDARD</t>
  </si>
  <si>
    <t>VATA 1994</t>
  </si>
  <si>
    <t>Import VAT 20% — PVA available</t>
  </si>
  <si>
    <t>GST</t>
  </si>
  <si>
    <t>2000-07-01</t>
  </si>
  <si>
    <t>A New Tax System (GST) Act 1999</t>
  </si>
  <si>
    <t>Basic food — GST zero-rated in Australia</t>
  </si>
  <si>
    <t>Revenue Code Thailand</t>
  </si>
  <si>
    <t>Standard 7% VAT on imports</t>
  </si>
  <si>
    <t>2018-01-01</t>
  </si>
  <si>
    <t>UAE Federal Decree-Law No.8/2017</t>
  </si>
  <si>
    <t>Saudi VAT Law Royal Decree M/113</t>
  </si>
  <si>
    <t>Increased from 5% to 15% July 2020</t>
  </si>
  <si>
    <t>Oman VAT Law Royal Decree 121/2020</t>
  </si>
  <si>
    <t>TRAIN Law RA 10963</t>
  </si>
  <si>
    <t>1980-01-01</t>
  </si>
  <si>
    <t>Ley del IVA Art.2-A</t>
  </si>
  <si>
    <t>Basic food products zero-rated under Mexican IVA</t>
  </si>
  <si>
    <t>CUSTOMS_VALUE_CIF</t>
  </si>
  <si>
    <t>Brazilian Customs Code</t>
  </si>
  <si>
    <t>Import Duty (II) — calculated on CIF value</t>
  </si>
  <si>
    <t>IPI</t>
  </si>
  <si>
    <t>CUSTOMS_VALUE_PLUS_II</t>
  </si>
  <si>
    <t>IPI Table — TIPI</t>
  </si>
  <si>
    <t>Industrialised Products Tax — 0% for food</t>
  </si>
  <si>
    <t>PIS</t>
  </si>
  <si>
    <t>CUSTOMS_VALUE_PLUS_II_IPI</t>
  </si>
  <si>
    <t>Lei 10.865/2004</t>
  </si>
  <si>
    <t>Social contribution on revenue — import rate</t>
  </si>
  <si>
    <t>COFINS</t>
  </si>
  <si>
    <t>Social contribution — import rate</t>
  </si>
  <si>
    <t>ICMS</t>
  </si>
  <si>
    <t>TOTAL_IMPORT_VALUE</t>
  </si>
  <si>
    <t>State VAT — rate shown for São Paulo; varies by state 12-18%</t>
  </si>
  <si>
    <t>1991-09-30</t>
  </si>
  <si>
    <t>VAT Act 89 of 1991 Schedule 2</t>
  </si>
  <si>
    <t>Basic food zero-rated — includes frozen potato products</t>
  </si>
  <si>
    <t>IVA</t>
  </si>
  <si>
    <t>1975-01-01</t>
  </si>
  <si>
    <t>DL 825 Ley IVA Chile</t>
  </si>
  <si>
    <t>Standard 19% Chilean IVA</t>
  </si>
  <si>
    <t>Mauritius VAT Act</t>
  </si>
  <si>
    <t>1998-01-01</t>
  </si>
  <si>
    <t>Ley 23.349 IVA Argentina</t>
  </si>
  <si>
    <t>1974-01-01</t>
  </si>
  <si>
    <t>Título 10 CT Uruguay</t>
  </si>
  <si>
    <t>ITBIS</t>
  </si>
  <si>
    <t>2019-01-01</t>
  </si>
  <si>
    <t>Ley 11-92 ITBIS</t>
  </si>
  <si>
    <t>2019-10-01</t>
  </si>
  <si>
    <t>Lei do IVA Angola 7/2019</t>
  </si>
  <si>
    <t>2000-11-27</t>
  </si>
  <si>
    <t>Value-Added Tax Act 10 of 2000</t>
  </si>
  <si>
    <t>NEW v3 — Proper excise table replacing nullable ExciseRate column. ExciseBasisType: AD_VALOREM (% of value), SPECIFIC (amount per unit — most common for alcohol/tobacco). SuspensionAvailable: goods can be held in excise warehouse without duty being triggered. DrawbackAvailable: excise duty refunded on re-export. DomesticRateApplies: if Y, domestic excise rate also applies (not just import rate).</t>
  </si>
  <si>
    <t>EXCISE — Excise Duty Table  |  Replaces nullable ExciseRate column  |  NEW v3</t>
  </si>
  <si>
    <t>ExciseBasisType</t>
  </si>
  <si>
    <t>ExciseRate
(%)</t>
  </si>
  <si>
    <t>ExciseExpression</t>
  </si>
  <si>
    <t>SuspensionAvailable</t>
  </si>
  <si>
    <t>DrawbackAvailable</t>
  </si>
  <si>
    <t>DomesticRateApplies</t>
  </si>
  <si>
    <t>2401000000</t>
  </si>
  <si>
    <t>240130</t>
  </si>
  <si>
    <t>SPECIFIC</t>
  </si>
  <si>
    <t>GBP/KG</t>
  </si>
  <si>
    <t>£316.70/kg hand-rolling tobacco</t>
  </si>
  <si>
    <t>2024-03-06</t>
  </si>
  <si>
    <t>Finance Act 2024</t>
  </si>
  <si>
    <t>UK highest excise rate category</t>
  </si>
  <si>
    <t>2204210000</t>
  </si>
  <si>
    <t>220421</t>
  </si>
  <si>
    <t>GBP/L_ALC</t>
  </si>
  <si>
    <t>£28.74 per litre of pure alcohol</t>
  </si>
  <si>
    <t>UK wine/spirits — rate per litre of pure alcohol</t>
  </si>
  <si>
    <t>2402200000</t>
  </si>
  <si>
    <t>240220</t>
  </si>
  <si>
    <t>GBP/1000</t>
  </si>
  <si>
    <t>£262.90 per 1,000 cigarettes + 16.5% retail price</t>
  </si>
  <si>
    <t>UK cigarette excise — compound formula</t>
  </si>
  <si>
    <t>2710121500</t>
  </si>
  <si>
    <t>271012</t>
  </si>
  <si>
    <t>GBP/L</t>
  </si>
  <si>
    <t>52.82p per litre unleaded petrol</t>
  </si>
  <si>
    <t>Hydrocarbon Oil Duties Act 1979</t>
  </si>
  <si>
    <t>UK fuel duty</t>
  </si>
  <si>
    <t>5% CIF (wine equalisation tax)</t>
  </si>
  <si>
    <t>Wine Equalisation Tax Act 2000</t>
  </si>
  <si>
    <t>Australian WET — wine only</t>
  </si>
  <si>
    <t>THB/CIG</t>
  </si>
  <si>
    <t>3.60 THB per cigarette + 40% ex-factory price</t>
  </si>
  <si>
    <t>Thai Excise Act 2017</t>
  </si>
  <si>
    <t>EXCISE_PROHIBITED</t>
  </si>
  <si>
    <t>PROHIBITED — alcohol import banned</t>
  </si>
  <si>
    <t>Saudi Arabian law</t>
  </si>
  <si>
    <t>Alcohol import and sale prohibited in Saudi Arabia — IsProhibited flag in REG_MEASURE</t>
  </si>
  <si>
    <t>NEW v3. Anti-dumping (AD), countervailing duty (CVD) and safeguard measures. STACKS on top of MFN duty — both apply simultaneously. ExporterName=NULL means country-wide residual rate (applies to all exporters not specifically named). ADStatus lifecycle: INVESTIGATION → PROVISIONAL → DEFINITIVE → REVIEW → EXPIRED. Sunset review typically triggered 5 years after definitive — check SunsetReviewDate. UnderTaking=Y means exporter accepted minimum price commitment instead of paying AD duty.</t>
  </si>
  <si>
    <t>AD_MEASURE — Anti-Dumping / Countervailing / Safeguard  |  Exporter-Specific Rates  |  NEW v3</t>
  </si>
  <si>
    <t>ImportCountryCode
(FK·dest)</t>
  </si>
  <si>
    <t>ExportingCountryCode
(origin targeted)</t>
  </si>
  <si>
    <t>ExporterName
(null=country residual)</t>
  </si>
  <si>
    <t>ADRateType</t>
  </si>
  <si>
    <t>ADRate
(%)</t>
  </si>
  <si>
    <t>SpecificAmt</t>
  </si>
  <si>
    <t>SpecificUOM</t>
  </si>
  <si>
    <t>MinImportPrice</t>
  </si>
  <si>
    <t>MIPCurrency</t>
  </si>
  <si>
    <t>ADStatus</t>
  </si>
  <si>
    <t>ProvisionalFrom</t>
  </si>
  <si>
    <t>DefinitiveFrom</t>
  </si>
  <si>
    <t>SunsetReviewDate</t>
  </si>
  <si>
    <t>InvestigatingBody</t>
  </si>
  <si>
    <t>UnderTaking</t>
  </si>
  <si>
    <t>ADCaseRef</t>
  </si>
  <si>
    <t>CN</t>
  </si>
  <si>
    <t>Yanggu Xiangguang Copper Co.</t>
  </si>
  <si>
    <t>ANTI_DUMPING</t>
  </si>
  <si>
    <t>DEFINITIVE</t>
  </si>
  <si>
    <t>2021-06-01</t>
  </si>
  <si>
    <t>2026-06-01</t>
  </si>
  <si>
    <t>UK Trade Remedies Authority (TRA)</t>
  </si>
  <si>
    <t>TRA 2021-AD-001</t>
  </si>
  <si>
    <t>Definitive AD on Chinese copper products</t>
  </si>
  <si>
    <t>Tongling Jingchuan Copper Co.</t>
  </si>
  <si>
    <t>Country residual — all other Chinese exporters</t>
  </si>
  <si>
    <t>US</t>
  </si>
  <si>
    <t>INVESTIGATION</t>
  </si>
  <si>
    <t>2025-03-01</t>
  </si>
  <si>
    <t>2030-03-01</t>
  </si>
  <si>
    <t>Philippine Tariff Commission</t>
  </si>
  <si>
    <t>PH-AD-2025-01</t>
  </si>
  <si>
    <t>Provisional measures expected Q3 2025 — USA/CAN/NLD origin</t>
  </si>
  <si>
    <t>NL</t>
  </si>
  <si>
    <t>SAFEGUARD</t>
  </si>
  <si>
    <t>2027-06-01</t>
  </si>
  <si>
    <t>Mauritius Revenue Authority</t>
  </si>
  <si>
    <t>MU-SFG-2024-01</t>
  </si>
  <si>
    <t>Protective safeguard on frozen potato chips — all origins. Stacks on 15% MFN → total 30%</t>
  </si>
  <si>
    <t>COUNTERVAILING</t>
  </si>
  <si>
    <t>2022-06-01</t>
  </si>
  <si>
    <t>UK TRA</t>
  </si>
  <si>
    <t>TRA 2022-CVD-001</t>
  </si>
  <si>
    <t>CVD on Chinese copper — government subsidy countermeasure</t>
  </si>
  <si>
    <t>Henan Guoxi Ultrapure New Material</t>
  </si>
  <si>
    <t>MIN_IMPORT_PRICE</t>
  </si>
  <si>
    <t>USD</t>
  </si>
  <si>
    <t>Price undertaking accepted — if import price &gt;= $4,500/t, no AD duty levied</t>
  </si>
  <si>
    <t>NEW v3. Duty relief and suspension schemes that can reduce or eliminate import duty. ReliefType: IPR=Inward Processing Relief (process+re-export), CW=Customs Warehousing (defer duty), TA=Temporary Admission (import temporarily), EUR=End Use Relief (specific purpose), OPR=Outward Processing Relief. DutyImpact: SUSPEND (duty payable later), REDUCE (lower rate), ZERO (no duty if conditions met). Application must check EligibilityCriteria before applying relief to landed cost.</t>
  </si>
  <si>
    <t>DUTY_RELIEF — IPR, Customs Warehousing, Temporary Admission, End Use Relief  |  NEW v3</t>
  </si>
  <si>
    <t>ReliefID
(PK)</t>
  </si>
  <si>
    <t>CommodityCode
(FK,null=any)</t>
  </si>
  <si>
    <t>CountryCode
(FK·import)</t>
  </si>
  <si>
    <t>ReliefType</t>
  </si>
  <si>
    <t>DutyImpact</t>
  </si>
  <si>
    <t>EligibilityCriteria</t>
  </si>
  <si>
    <t>ApplicationProcedure</t>
  </si>
  <si>
    <t>AuthorisationRequired</t>
  </si>
  <si>
    <t>MaxDurationMonths
(null=indefinite)</t>
  </si>
  <si>
    <t>GuaranteeRequired</t>
  </si>
  <si>
    <t>REL001</t>
  </si>
  <si>
    <t>IPR</t>
  </si>
  <si>
    <t>Goods imported for processing (milling, refining, manufacturing) and subsequently re-exported as processed goods</t>
  </si>
  <si>
    <t>Apply to HMRC for IPR authorisation — C&amp;E Form 810</t>
  </si>
  <si>
    <t>TCTA 2018 s.3 / CDS Procedure Code 51xx</t>
  </si>
  <si>
    <t>Duty suspended on inputs — only payable if processed goods not exported within 24 months</t>
  </si>
  <si>
    <t>REL002</t>
  </si>
  <si>
    <t>CW</t>
  </si>
  <si>
    <t>SUSPEND</t>
  </si>
  <si>
    <t>Goods stored in approved customs warehouse — duty deferred until removed for home use</t>
  </si>
  <si>
    <t>Apply to HMRC for customs warehouse authorisation Type C/D/E</t>
  </si>
  <si>
    <t>TCTA 2018 s.8</t>
  </si>
  <si>
    <t>No time limit on storage — duty only triggered on release to free circulation</t>
  </si>
  <si>
    <t>REL003</t>
  </si>
  <si>
    <t>TA</t>
  </si>
  <si>
    <t>Goods imported temporarily for exhibitions, trade shows, professional equipment, samples — must be re-exported</t>
  </si>
  <si>
    <t>Complete C&amp;E Form 1246 or use ATA Carnet</t>
  </si>
  <si>
    <t>TCTA 2018 s.10 / Istanbul Convention</t>
  </si>
  <si>
    <t>ATA Carnet issued by ICC national committee — covers 87 countries</t>
  </si>
  <si>
    <t>REL004</t>
  </si>
  <si>
    <t>EUR</t>
  </si>
  <si>
    <t>REDUCE</t>
  </si>
  <si>
    <t>Goods used for a specific end use (e.g. fishmeal for animal feed, aircraft parts for repair)</t>
  </si>
  <si>
    <t>Apply for End Use authorisation on import — CDS Procedure Code 44xx</t>
  </si>
  <si>
    <t>TCTA 2018 s.3</t>
  </si>
  <si>
    <t>Rate reduced to the rate for the end use product — not zero</t>
  </si>
  <si>
    <t>REL005</t>
  </si>
  <si>
    <t>OPR</t>
  </si>
  <si>
    <t>UK goods exported for processing abroad and returned — duty only on value added outside UK</t>
  </si>
  <si>
    <t>Authorisation required — Outward Processing relief procedure</t>
  </si>
  <si>
    <t>TCTA 2018 s.6</t>
  </si>
  <si>
    <t>Duty calculated only on the added value/processing cost incurred abroad</t>
  </si>
  <si>
    <t>REL006</t>
  </si>
  <si>
    <t>Goods imported for processing and export — Tradex scheme</t>
  </si>
  <si>
    <t>Apply to Australian Border Force for Tradex Order</t>
  </si>
  <si>
    <t>Tradex Orders Act 1996</t>
  </si>
  <si>
    <t>REL007</t>
  </si>
  <si>
    <t>RECOF</t>
  </si>
  <si>
    <t>Brazilian export-oriented company regime — duty suspension on industrial inputs</t>
  </si>
  <si>
    <t>Apply to Receita Federal for RECOF accreditation</t>
  </si>
  <si>
    <t>IN RFB 1291/2012</t>
  </si>
  <si>
    <t>RECOF and RECOF-SPED regimes — significant benefit for exporters</t>
  </si>
  <si>
    <t>Read by sync worker service at job start. AuthCredentialRef = Azure Key Vault secret NAME only — never the key itself. LastSnapshotHash = SHA-256 of last parsed response — worker compares on next run for fast no-change detection. AutoApplyThresholdPct: changes &lt;= this are auto-applied; larger changes → PENDING_REVIEW in SOURCE_SYNC_CHANGE. NEW_CODE and DELETED_CODE changes always require manual review regardless of threshold.</t>
  </si>
  <si>
    <t>TARIFF_SOURCE — Source URL Registry  |  Polled by Application Sync Worker (NOT by DB)</t>
  </si>
  <si>
    <t>SourceID
(PK)</t>
  </si>
  <si>
    <t>CountryCode
(FK,null=global)</t>
  </si>
  <si>
    <t>SourceName</t>
  </si>
  <si>
    <t>SourceURL</t>
  </si>
  <si>
    <t>SourceType</t>
  </si>
  <si>
    <t>DataFormat</t>
  </si>
  <si>
    <t>PollFrequencyHours</t>
  </si>
  <si>
    <t>AuthMethod</t>
  </si>
  <si>
    <t>AuthCredentialRef</t>
  </si>
  <si>
    <t>AutoApplyThresholdPct</t>
  </si>
  <si>
    <t>LastSnapshotHash</t>
  </si>
  <si>
    <t>LastPolledAt</t>
  </si>
  <si>
    <t>SRC001</t>
  </si>
  <si>
    <t>UK Global Tariff API (CDS)</t>
  </si>
  <si>
    <t>https://www.trade-tariff.service.gov.uk/api/v2/commodities/</t>
  </si>
  <si>
    <t>API</t>
  </si>
  <si>
    <t>JSON</t>
  </si>
  <si>
    <t>NONE</t>
  </si>
  <si>
    <t>a3f9b2c1...</t>
  </si>
  <si>
    <t>2024-03-20 06:00</t>
  </si>
  <si>
    <t>REST API — append commodity code. No auth required. 1 req/sec rate limit.</t>
  </si>
  <si>
    <t>SRC002</t>
  </si>
  <si>
    <t>Australian Border Force Tariff</t>
  </si>
  <si>
    <t>https://www.abf.gov.au/importing-exporting-and-manufacturing/tariff-classification/current-tariff</t>
  </si>
  <si>
    <t>HTML_SCRAPE</t>
  </si>
  <si>
    <t>HTML</t>
  </si>
  <si>
    <t>7d4e1a2b...</t>
  </si>
  <si>
    <t>2024-03-18 06:00</t>
  </si>
  <si>
    <t>Annual update — consider weekly poll</t>
  </si>
  <si>
    <t>SRC003</t>
  </si>
  <si>
    <t>Thai Customs Department</t>
  </si>
  <si>
    <t>https://igtf.customs.go.th/igtf/en/main-menu.jsp</t>
  </si>
  <si>
    <t>2c8f3d9e...</t>
  </si>
  <si>
    <t>POST request required with HS code param</t>
  </si>
  <si>
    <t>SRC004</t>
  </si>
  <si>
    <t>https://www.sars.gov.za/customs-and-excise/tariff-books/</t>
  </si>
  <si>
    <t>PDF</t>
  </si>
  <si>
    <t>9b1e7f4a...</t>
  </si>
  <si>
    <t>2024-03-15 06:00</t>
  </si>
  <si>
    <t>PDF parsing — alert on hash change for manual review</t>
  </si>
  <si>
    <t>SRC005</t>
  </si>
  <si>
    <t>MDIC NCM JSON Download</t>
  </si>
  <si>
    <t>https://portalunico.siscomex.gov.br/classif/api/publico/nomenclatura/download/json</t>
  </si>
  <si>
    <t>4f2a8c6d...</t>
  </si>
  <si>
    <t>Large JSON (~50MB) — hash full file then diff</t>
  </si>
  <si>
    <t>SRC006</t>
  </si>
  <si>
    <t>FCA UAE GCC Tariff</t>
  </si>
  <si>
    <t>https://www.fcsc.gov.ae/en/pages/customstariff.aspx</t>
  </si>
  <si>
    <t>1d9c5e3b...</t>
  </si>
  <si>
    <t>GCC CET — same rates AE/SA/OM</t>
  </si>
  <si>
    <t>SRC007</t>
  </si>
  <si>
    <t>ZATCA GCC Tariff</t>
  </si>
  <si>
    <t>https://zatca.gov.sa/en/RulesRegulations/Taxes/Regulations/Pages/CustomsTariff.aspx</t>
  </si>
  <si>
    <t>8a6b2f1c...</t>
  </si>
  <si>
    <t>VAT different from AE/OM — separate source</t>
  </si>
  <si>
    <t>SRC008</t>
  </si>
  <si>
    <t>Philippines BOC Tariff</t>
  </si>
  <si>
    <t>https://tariff.customs.gov.ph/</t>
  </si>
  <si>
    <t>3e7d1b9f...</t>
  </si>
  <si>
    <t>AD investigation open HS 2004.10 — monitor weekly</t>
  </si>
  <si>
    <t>SRC009</t>
  </si>
  <si>
    <t>Mauritius MRA Tariff</t>
  </si>
  <si>
    <t>https://www.mra.mu/index.php/customs-administration/customs-tariff</t>
  </si>
  <si>
    <t>6c4a8e2d...</t>
  </si>
  <si>
    <t>Duty changed Jun 2024 (15%→30%) — low threshold</t>
  </si>
  <si>
    <t>SRC010</t>
  </si>
  <si>
    <t>SAT Mexico LIGIE</t>
  </si>
  <si>
    <t>https://www.sat.gob.mx/consulta/44536/consulta-la-tarifa-de-la-ley-de-los-impuestos-generales</t>
  </si>
  <si>
    <t>5f1d3c7b...</t>
  </si>
  <si>
    <t>SRC011</t>
  </si>
  <si>
    <t>AFIP Argentina NCM</t>
  </si>
  <si>
    <t>https://aps.afip.gob.ar/arancel/faces/inicio.xhtml</t>
  </si>
  <si>
    <t>2b8e4a6c...</t>
  </si>
  <si>
    <t>SRC012</t>
  </si>
  <si>
    <t>https://www.aduana.cl/aduana/site/artic/20170328/asocfile/20170328161815/arancel_aduanero_2024.xlsx</t>
  </si>
  <si>
    <t>CSV</t>
  </si>
  <si>
    <t>7a3f9d1e...</t>
  </si>
  <si>
    <t>Excel download — annual update January</t>
  </si>
  <si>
    <t>SRC013</t>
  </si>
  <si>
    <t>WCO HS Revision Monitor</t>
  </si>
  <si>
    <t>https://www.wcoomd.org/en/topics/nomenclature/instrument-and-tools/hs-nomenclature-2022-edition.aspx</t>
  </si>
  <si>
    <t>4c9b2e8a...</t>
  </si>
  <si>
    <t>2024-03-01 06:00</t>
  </si>
  <si>
    <t>AutoApplyThreshold=0 — all HS changes need manual review</t>
  </si>
  <si>
    <t>SRC014</t>
  </si>
  <si>
    <t>OFAC SDN List</t>
  </si>
  <si>
    <t>https://www.treasury.gov/ofac/downloads/sdnlist.txt</t>
  </si>
  <si>
    <t>TXT</t>
  </si>
  <si>
    <t>9f3e2b1a...</t>
  </si>
  <si>
    <t>Sanctions list — daily check, ALL changes PENDING_REVIEW</t>
  </si>
  <si>
    <t>SRC015</t>
  </si>
  <si>
    <t>UK OTSI Sanctions List</t>
  </si>
  <si>
    <t>https://www.gov.uk/government/publications/financial-sanctions-consolidated-list-of-targets</t>
  </si>
  <si>
    <t>1a2b3c4d...</t>
  </si>
  <si>
    <t>UK OTSI consolidated list — daily</t>
  </si>
  <si>
    <t>Written by APPLICATION sync worker — one row per poll execution. Admin dashboard queries this for job health. JobStatus=NO_CHANGE means hash matched — no parsing done. PARTIAL means some records succeeded, some failed within same job.</t>
  </si>
  <si>
    <t>SOURCE_SYNC_JOB — One Row Per Poll Execution  |  Admin Monitoring  |  App writes, not DB</t>
  </si>
  <si>
    <t>JobID
(PK·auto)</t>
  </si>
  <si>
    <t>SourceID
(FK)</t>
  </si>
  <si>
    <t>JobStartedAt</t>
  </si>
  <si>
    <t>JobCompletedAt</t>
  </si>
  <si>
    <t>DurationSeconds</t>
  </si>
  <si>
    <t>JobStatus</t>
  </si>
  <si>
    <t>HTTPStatusCode</t>
  </si>
  <si>
    <t>RecordsChecked</t>
  </si>
  <si>
    <t>RecordsChanged</t>
  </si>
  <si>
    <t>RecordsErrored</t>
  </si>
  <si>
    <t>TriggerType</t>
  </si>
  <si>
    <t>ErrorMessage</t>
  </si>
  <si>
    <t>JOB_0050</t>
  </si>
  <si>
    <t>NO_CHANGE</t>
  </si>
  <si>
    <t>SCHEDULED</t>
  </si>
  <si>
    <t>JOB_0049</t>
  </si>
  <si>
    <t>2024-03-20 06:08</t>
  </si>
  <si>
    <t>SUCCESS</t>
  </si>
  <si>
    <t>JOB_0048</t>
  </si>
  <si>
    <t>2024-03-19 06:00</t>
  </si>
  <si>
    <t>2024-03-19 06:02</t>
  </si>
  <si>
    <t>JOB_0047</t>
  </si>
  <si>
    <t>2024-03-19 06:15</t>
  </si>
  <si>
    <t>PARTIAL</t>
  </si>
  <si>
    <t>3 codes failed — Thai Customs layout changed Ch.20</t>
  </si>
  <si>
    <t>JOB_0046</t>
  </si>
  <si>
    <t>FAILED</t>
  </si>
  <si>
    <t>HTTP 503 — PH BOC unavailable. Retry in 4hrs.</t>
  </si>
  <si>
    <t>2024-06-15 06:00</t>
  </si>
  <si>
    <t>2024-06-15 06:02</t>
  </si>
  <si>
    <t>JOB_0035</t>
  </si>
  <si>
    <t>2024-06-01 06:00</t>
  </si>
  <si>
    <t>2024-06-01 06:09</t>
  </si>
  <si>
    <t>MANUAL</t>
  </si>
  <si>
    <t>Manual trigger post Mauritius budget announcement</t>
  </si>
  <si>
    <t>2023-01-02 06:00</t>
  </si>
  <si>
    <t>2023-01-02 06:45</t>
  </si>
  <si>
    <t>One row per detected change per job. Written by APP before updating TARIFF_RATE. ChangeStatus=PENDING_REVIEW when change &gt; AutoApplyThresholdPct OR ChangeType=NEW_CODE/DELETED_CODE/SANCTIONS_CHANGE. SourceURL = exact commodity-level URL fetched (not base URL from TARIFF_SOURCE). SourceSnapshotRef = blob storage path of raw response for audit evidence.</t>
  </si>
  <si>
    <t>SOURCE_SYNC_CHANGE — One Row Per Detected Change  |  Pending Review Queue + Audit Trail  |  App writes</t>
  </si>
  <si>
    <t>ChangeID
(PK·auto)</t>
  </si>
  <si>
    <t>JobID
(FK)</t>
  </si>
  <si>
    <t>FieldChanged</t>
  </si>
  <si>
    <t>OldValue</t>
  </si>
  <si>
    <t>NewValue</t>
  </si>
  <si>
    <t>ChangeStatus</t>
  </si>
  <si>
    <t>ChangeDetectedAt</t>
  </si>
  <si>
    <t>AppliedAt</t>
  </si>
  <si>
    <t>ReviewNotes</t>
  </si>
  <si>
    <t>CHG_001</t>
  </si>
  <si>
    <t>15.0</t>
  </si>
  <si>
    <t>30.0</t>
  </si>
  <si>
    <t>AUTO_APPLIED</t>
  </si>
  <si>
    <t>2024-06-15 06:01</t>
  </si>
  <si>
    <t>Budget 2024-25 confirmed</t>
  </si>
  <si>
    <t>CHG_002</t>
  </si>
  <si>
    <t>200510</t>
  </si>
  <si>
    <t>7.0</t>
  </si>
  <si>
    <t>8.5</t>
  </si>
  <si>
    <t>PENDING_REVIEW</t>
  </si>
  <si>
    <t>2024-03-19 06:12</t>
  </si>
  <si>
    <t>https://igtf.customs.go.th/igtf/en/main-menu.jsp?code=200510</t>
  </si>
  <si>
    <t>Change &gt;5% threshold — verify before applying</t>
  </si>
  <si>
    <t>CHG_003</t>
  </si>
  <si>
    <t>12.0</t>
  </si>
  <si>
    <t>18.0</t>
  </si>
  <si>
    <t>2023-01-02 06:32</t>
  </si>
  <si>
    <t>Convênio ICMS 142/2022 confirmed</t>
  </si>
  <si>
    <t>CHG_004</t>
  </si>
  <si>
    <t>SUPERSEDED</t>
  </si>
  <si>
    <t>2024-06-01 06:02</t>
  </si>
  <si>
    <t>https://www.mra.mu/</t>
  </si>
  <si>
    <t>Superseded by CHG_001</t>
  </si>
  <si>
    <t>CHG_005</t>
  </si>
  <si>
    <t>NEW_CODE</t>
  </si>
  <si>
    <t>NULL</t>
  </si>
  <si>
    <t>2004100015</t>
  </si>
  <si>
    <t>2024-03-20 06:05</t>
  </si>
  <si>
    <t>https://www.trade-tariff.service.gov.uk/api/v2/commodities/2004100015</t>
  </si>
  <si>
    <t>New 10-digit code detected — manual classification review required</t>
  </si>
  <si>
    <t>TARIFF LOOKUP QUERY — Full Cost, Documentation &amp; Regulatory Requirements</t>
  </si>
  <si>
    <t>Returns ALL costs + documentation + regulatory requirements for a given export country, import country and commodity code</t>
  </si>
  <si>
    <t>INPUT PARAMETERS — Replace these values to run the query for any trade</t>
  </si>
  <si>
    <t>Export Country</t>
  </si>
  <si>
    <t>:export_country  =  'GB'   (ISO 2-digit — origin / supplier country)</t>
  </si>
  <si>
    <t>Import Country</t>
  </si>
  <si>
    <t>:import_country  =  'BR'   (ISO 2-digit — destination / customer country)</t>
  </si>
  <si>
    <t>Subheading Code</t>
  </si>
  <si>
    <t>:subheading      =  '200410'   (WCO 6-digit — or use 8/10-digit national code)</t>
  </si>
  <si>
    <t>⚠  To run for a different trade: replace 'GB', 'BR' and '200410' with your values throughout all 10 steps below. The query uses these as bind parameters — in your application layer pass them as parameterised query inputs.</t>
  </si>
  <si>
    <t>EXECUTION ORDER — Run steps in sequence. STOP at Step 1 if any active sanctions found.</t>
  </si>
  <si>
    <t>STEP 1</t>
  </si>
  <si>
    <t>SANCTIONS CHECK  —  Run FIRST. If any active rows returned, trade may be ILLEGAL — do not proceed.</t>
  </si>
  <si>
    <t>Expected result:</t>
  </si>
  <si>
    <t>0 rows = trade is permitted to proceed.  Any rows with IsActive=Y = STOP and escalate to compliance team.</t>
  </si>
  <si>
    <t>-- STEP 1: SANCTIONS CHECK
-- Query all sanctions that could affect this trade:
-- (a) blanket sanctions on the import country
-- (b) sanctions on goods of the export country's origin going anywhere
-- (c) commodity-specific sanctions matching the HS subheading
-- (d) global commodity bans (null country = applies everywhere)
SELECT
    sm.SanctionID,
    sm.SanctionsType,
    sm.AdministeringBody,
    sm.SanctionsRegime,
    sm.ImportCountryCode,
    sm.ExportCountryCode,
    sm.SubheadingCode,
    sm.Description,
    sm.IsActive,
    sm.EffectiveFrom,
    sm.LegalBasis
FROM SANCTIONS_MEASURE sm
WHERE sm.IsActive = 'Y'
  AND (
        sm.ImportCountryCode  = :import_country                        -- blanket import country sanction
     OR sm.ExportCountryCode  = :export_country                        -- blanket export country sanction
     OR (sm.SubheadingCode    = :subheading
         AND (sm.ImportCountryCode = :import_country
              OR sm.ImportCountryCode IS NULL))                         -- commodity + country specific
     OR (sm.ImportCountryCode IS NULL
         AND sm.ExportCountryCode IS NULL
         AND sm.SubheadingCode = :subheading)                          -- global commodity ban
      )
ORDER BY sm.SanctionsType, sm.AdministeringBody;</t>
  </si>
  <si>
    <t>STEP 2</t>
  </si>
  <si>
    <t>MFN DUTY RATE  —  The standard import duty applicable if no preferential rate exists.</t>
  </si>
  <si>
    <t>Rows showing APPLIED rate (current), BOUND rate (WTO ceiling), and TRQ rates if applicable.</t>
  </si>
  <si>
    <t>-- STEP 2: MFN (Most Favoured Nation) DUTY RATE
-- Returns the current applied rate, WTO bound ceiling, and any TRQ (Tariff Rate Quota) bands.
-- Applied rate = what is actually charged today.
-- Bound rate   = WTO maximum ceiling — cannot be exceeded without compensation.
-- TRQ          = lower in-quota rate up to a volume threshold, full rate above it.
SELECT
    c.CountryName                           AS DestinationCountry,
    tr.CommodityCode,
    tr.SubheadingCode,
    mr.RateCategory,                        -- APPLIED / BOUND / TRQ_IN_QUOTA / TRQ_OUT_QUOTA
    mr.DutyBasisType,                       -- AD_VALOREM / SPECIFIC / COMPOUND / MIXED
    mr.BoundRate                            AS WTOBoundCeiling_Pct,
    mr.AppliedMFNRate                       AS CurrentDutyRate_Pct,
    mr.SpecificDutyAmt,                     -- populated for SPECIFIC / COMPOUND duties
    mr.SpecificDutyUOM,                     -- e.g. GBP/KG, ZAR/KG
    mr.DutyExpression,                      -- human-readable formula e.g. '16% FOB (NCM)'
    mr.ValuationBasis,                      -- CIF or FOB — critical for calculation base
    mr.TRQVolumeKG                          -- quota threshold (null if no TRQ)
FROM TARIFF_RATE tr
JOIN COUNTRY c
    ON tr.CountryCode   = c.CountryCode
JOIN MFN_RATE mr
    ON mr.CommodityCode = tr.CommodityCode
   AND mr.CountryCode   = tr.CountryCode
WHERE tr.CountryCode    = :import_country
  AND tr.SubheadingCode = :subheading
  AND tr.EffectiveTo    IS NULL              -- current rates only
  AND mr.EffectiveTo    IS NULL
  AND mr.RateCategory   IN ('APPLIED','BOUND','TRQ_IN_QUOTA','TRQ_OUT_QUOTA')
ORDER BY mr.RateCategory;</t>
  </si>
  <si>
    <t>STEP 3</t>
  </si>
  <si>
    <t>PREFERENTIAL RATE  —  Check if a trade agreement gives a lower rate than MFN. LEFT JOIN so result returned even if no agreement exists.</t>
  </si>
  <si>
    <t>If AgreementCode IS NULL → no FTA/GSP between these countries → MFN rate from Step 2 applies. If PrefRate returned → use this rate instead of MFN, subject to Rules of Origin in Step 3b.</t>
  </si>
  <si>
    <t>-- STEP 3: TRADE AGREEMENT + PREFERENTIAL RATE CHECK
-- Uses LEFT JOINs throughout so a result is always returned.
-- If no agreement: AgreementCode and PrefRate will be NULL → MFN rate applies.
-- If agreement exists but commodity not covered: PrefRate NULL → MFN rate applies.
-- Note: TRADE_AGREEMENT.PartiesISO stores members as comma-separated ISO codes.
SELECT
    CASE WHEN ta.AgreementCode IS NULL
         THEN 'NO TRADE AGREEMENT — MFN rate applies'
         ELSE ta.AgreementName
    END                                     AS AgreementStatus,
    ta.AgreementCode,
    ta.AgreementType,                       -- FTA / GSP / EPA / CU
    ta.InForceFrom,
    pr.PrefRate                             AS PreferentialRate_Pct,
    pr.StagingCategory,                     -- Immediate / Partial / Staging TBD
    pr.EffectiveTo                          AS PrefRateExpiry,
    -- Rules of Origin (how to qualify for the preference)
    ro.OriginCriterion,                     -- WO / CTH / CTSH / RVC / SP
    ro.RVCThresholdPct,                     -- Regional Value Content % if RVC criterion
    ro.AllowedTolerance                     AS NonOriginatingTolerance_Pct,
    ro.DirectTransportRequired,             -- Y = goods must not transit third country
    ro.CumulationRule,
    -- Proof of origin document required
    od.DocumentName                         AS ProofOfOriginDocument,
    od.ValidityDays                         AS DocumentValidityDays,
    od.ApprovedExporterRequired,
    od.ValueThresholdLocal                  AS SimplifiedProofBelowValue
FROM (SELECT :import_country AS ImportCC, :export_country AS ExportCC) params
LEFT JOIN TRADE_AGREEMENT ta
    ON  ta.PartiesISO LIKE CONCAT('%', params.ExportCC, '%')
    AND ta.PartiesISO LIKE CONCAT('%', params.ImportCC, '%')
    AND ta.InForceTo   IS NULL              -- currently in force agreements only
LEFT JOIN PREFERENTIAL_RATE pr
    ON  pr.ImportCountryCode  = params.ImportCC
    AND pr.ExportCountryCode  = params.ExportCC
    AND pr.AgreementCode      = ta.AgreementCode
    AND pr.SubheadingCode     = :subheading
    AND pr.EffectiveTo        IS NULL
LEFT JOIN RULES_OF_ORIGIN ro
    ON  ro.AgreementCode      = ta.AgreementCode
    AND ro.ExportCountryCode  = params.ExportCC
    AND ro.CommodityCode      = pr.CommodityCode
LEFT JOIN ORIGIN_DOCUMENT od
    ON  od.AgreementCode      = ta.AgreementCode
    AND od.DocumentCode       = ro.ProofOfOriginDocCode
ORDER BY pr.PrefRate ASC NULLS LAST;       -- lowest available rate first</t>
  </si>
  <si>
    <t>STEP 4</t>
  </si>
  <si>
    <t>VAT &amp; INDIRECT TAXES  —  May be multiple rows for same country (e.g. Brazil has 5 separate taxes that stack).</t>
  </si>
  <si>
    <t>All active indirect tax rows for this commodity in the import country. Sum rates carefully — some taxes stack on previous ones (cascade). See VATBasis column.</t>
  </si>
  <si>
    <t>-- STEP 4: VAT &amp; ALL INDIRECT TAXES
-- Returns one row per tax type. Some countries have multiple:
-- Brazil: II (import duty) + IPI + PIS + COFINS + ICMS — each with different calculation basis.
-- UK frozen food: VAT = 0% (zero-rated). UK copper: VAT = 20%.
-- VATBasis tells you what the tax is applied TO:
--   CUSTOMS_VALUE_PLUS_DUTY = most common (tax on goods value + import duty)
--   CUSTOMS_VALUE_ONLY      = tax on goods value only
--   TOTAL_IMPORT_VALUE      = tax on everything including all prior taxes (Brazil ICMS)
-- PostponedAccounting = Y means pay on VAT return, not at border (UK PVA — major cash flow benefit).
SELECT
    vr.TaxType,                             -- VAT / GST / ICMS / IPI / PIS / COFINS / IVA / ITBIS
    vr.TaxCategory,                         -- STANDARD / REDUCED / ZERO / EXEMPT
    vr.Rate                                 AS Rate_Pct,
    vr.VATBasis,                            -- what the rate is applied to — see note above
    vr.PostponedAccounting,                 -- Y = pay on return not at border (UK PVA)
    vr.ReliefAvailable,                     -- Y = a relief scheme exists (see DUTY_RELIEF)
    vr.ReliefSchemeRef,
    vr.StateOrProvince,                     -- relevant for Brazil ICMS (rate varies by state)
    vr.LegalBasis,
    vr.Notes
FROM VAT_RATE vr
WHERE vr.CountryCode    = :import_country
  AND vr.SubheadingCode = :subheading
  AND vr.EffectiveTo    IS NULL
ORDER BY vr.TaxType;</t>
  </si>
  <si>
    <t>STEP 5</t>
  </si>
  <si>
    <t>ANTI-DUMPING / COUNTERVAILING / SAFEGUARD  —  Surcharges that STACK on top of MFN duty.</t>
  </si>
  <si>
    <t>Rows where ExportingCountryCode matches :export_country OR is NULL (safeguard = all origins). ADStatus = INVESTIGATION means provisional measures may be imminent.</t>
  </si>
  <si>
    <t>-- STEP 5: ANTI-DUMPING, COUNTERVAILING DUTY AND SAFEGUARD MEASURES
-- These stack ON TOP of the MFN duty from Step 2 — both apply simultaneously.
-- Exporter-specific: ExporterName = NULL means country-wide residual rate.
-- Safeguard measures (MeasureType = SAFEGUARD) have NULL ExportingCountryCode
--   because they apply to ALL origins equally.
-- If ADStatus = INVESTIGATION: no duty yet but provisional measures likely — flag for monitoring.
-- If UnderTaking = Y: exporter has agreed a minimum price — no AD duty if price &gt;= MinImportPrice.
SELECT
    ad.MeasureType,                         -- ANTI_DUMPING / COUNTERVAILING / SAFEGUARD
    ad.ExportingCountryCode,
    ad.ExporterName,                        -- NULL = applies to all exporters from that country
    ad.ADStatus,                            -- INVESTIGATION / PROVISIONAL / DEFINITIVE / REVIEW / EXPIRED
    ad.ADRateType,                          -- AD_VALOREM / SPECIFIC / MIN_IMPORT_PRICE
    ad.ADRate                               AS ADRate_Pct,
    ad.MinImportPrice,                      -- populated if UnderTaking = Y
    ad.MIPCurrency,
    ad.DefinitiveFrom,
    ad.SunsetReviewDate,                    -- 5-year review trigger
    ad.InvestigatingBody,
    ad.UnderTaking,                         -- Y = price undertaking instead of AD duty
    ad.ADCaseRef,
    ad.Notes
FROM AD_MEASURE ad
WHERE ad.ImportCountryCode = :import_country
  AND ad.ADStatus NOT IN ('EXPIRED')
  AND (
        ad.ExportingCountryCode = :export_country   -- targeted at our export country
     OR ad.ExportingCountryCode IS NULL              -- safeguard (all origins)
      )
  AND (
        ad.CommodityCode = (
            SELECT CommodityCode FROM COMMODITY_CODE
             WHERE SubheadingCode = :subheading
               AND CountryCode    = :import_country
             LIMIT 1)
     OR ad.CommodityCode LIKE CONCAT(:subheading, '%')  -- covers 8/10-digit extensions
      )
ORDER BY ad.MeasureType, ad.ExportingCountryCode NULLS LAST;</t>
  </si>
  <si>
    <t>STEP 6</t>
  </si>
  <si>
    <t>EXCISE DUTY  —  Applies to specific commodity categories (alcohol, tobacco, fuel). Usually no rows for food.</t>
  </si>
  <si>
    <t>Usually 0 rows for food commodities. Rows returned for alcohol, tobacco, fuel — check ExciseExpression for calculation formula.</t>
  </si>
  <si>
    <t>-- STEP 6: EXCISE DUTY
-- Most food commodities return 0 rows here.
-- Excise is typically SPECIFIC (fixed amount per litre/kg/unit) not ad valorem.
-- ExciseExpression contains the full formula e.g. '£28.74 per litre of pure alcohol'.
-- SuspensionAvailable = Y means goods can be held in excise warehouse without triggering payment.
-- DrawbackAvailable   = Y means excise refunded on re-export.
SELECT
    ex.ExciseBasisType,                     -- AD_VALOREM or SPECIFIC
    ex.ExciseRate                           AS ExciseRate_Pct,     -- if ad valorem
    ex.SpecificDutyAmt,                     -- if specific
    ex.SpecificDutyUOM,                     -- e.g. GBP/L_ALC, THB/CIG
    ex.ExciseExpression,                    -- full human-readable formula
    ex.SuspensionAvailable,                 -- Y = excise warehouse option
    ex.DrawbackAvailable,                   -- Y = refund on re-export
    ex.DomesticRateApplies,
    ex.LegalBasis,
    ex.Notes
FROM EXCISE ex
WHERE ex.CountryCode    = :import_country
  AND ex.SubheadingCode = :subheading
  AND ex.EffectiveTo    IS NULL;</t>
  </si>
  <si>
    <t>STEP 7</t>
  </si>
  <si>
    <t>REGULATORY MEASURES  —  Licences, prohibitions, controlled goods (WCO measure types).</t>
  </si>
  <si>
    <t>IsProhibited=Y = import is banned. LicenceRequired=Y = must obtain licence before shipping.</t>
  </si>
  <si>
    <t>-- STEP 7: REGULATORY AND LICENSING MEASURES
-- These are legal instruments (WCO measure types) controlling whether goods can be imported.
-- IsProhibited = Y: goods cannot be imported at all (e.g. alcohol into Saudi Arabia).
-- LicenceRequired = Y: must obtain licence BEFORE shipment (e.g. ANVISA registration in Brazil).
-- MeasureType uses WCO codes: 715=phytosanitary, HALAL=halal cert, ANV=ANVISA, EUDR=deforestation.
-- Applies regardless of origin country unless OriginCountryCode is specified.
SELECT
    rm.MeasureType,
    rm.MeasureDescription,
    rm.LicenceRequired,                     -- Y = licence required before import
    rm.LicensingAuthority,                  -- body that issues the licence
    rm.IsProhibited,                        -- Y = import banned — STOP
    rm.EffectiveFrom,
    rm.Notes
FROM REG_MEASURE rm
WHERE rm.CountryCode    = :import_country
  AND rm.SubheadingCode = :subheading
  AND rm.EffectiveTo    IS NULL
ORDER BY rm.IsProhibited DESC, rm.LicenceRequired DESC;</t>
  </si>
  <si>
    <t>STEP 8</t>
  </si>
  <si>
    <t>IMPORT CONDITIONS  —  Operational requirements: fumigation, labelling, inspection, packaging (UNCTAD TRAINS NTM codes).</t>
  </si>
  <si>
    <t>Each row is a specific requirement that must be met. TimingRequirement tells you WHEN: PRE_SHIPMENT / AT_BORDER / POST_ARRIVAL.</t>
  </si>
  <si>
    <t>-- STEP 8: IMPORT CONDITIONS (Non-Tariff Measures — UNCTAD TRAINS)
-- These are the physical and documentary conditions the goods must meet.
-- Different from REG_MEASURE (which is about licences/prohibitions).
-- NTMCode: A=SPS (A14=fumigation, A11=phytosanitary), B=TBT (B31=labelling, B32=packaging).
-- TimingRequirement tells you WHEN the condition must be met:
--   PRE_SHIPMENT  = arrange before loading at origin
--   AT_BORDER     = present document at customs clearance
--   POST_ARRIVAL  = comply after goods enter country
-- OriginCountryCode IS NULL means condition applies regardless of where goods come from.
-- IsMandatory = N means recommended but not legally required.
SELECT
    ic.NTMCode,                             -- UNCTAD TRAINS code e.g. A14, B31
    ic.NTMCategory,                         -- SPS / TBT / INSPECTION / PACKAGING / HANDLING
    ic.ConditionDescription,
    ic.TreatmentSpecification,              -- exact treatment required e.g. MB 32g/m³ 24hrs
    ic.CertifyingAuthority,
    ic.IssuingLocation,                     -- ORIGIN / DESTINATION / EITHER
    ic.TimingRequirement,                   -- PRE_SHIPMENT / AT_BORDER / POST_ARRIVAL
    ic.ValidityDays,                        -- how long the certificate is valid
    ic.IsMandatory,                         -- Y = legally required, N = recommended
    ic.DocumentCode,
    ic.Notes
FROM IMPORT_CONDITION ic
WHERE ic.CountryCode    = :import_country
  AND ic.SubheadingCode = :subheading
  AND ic.EffectiveTo    IS NULL
  AND (ic.OriginCountryCode = :export_country
       OR ic.OriginCountryCode IS NULL)     -- conditions for our specific origin + all-origin conditions
ORDER BY ic.TimingRequirement, ic.IsMandatory DESC;</t>
  </si>
  <si>
    <t>STEP 9</t>
  </si>
  <si>
    <t>EXPORT MEASURES  —  Costs and restrictions from the ORIGIN / SUPPLIER country perspective.</t>
  </si>
  <si>
    <t>Export duties reduce supplier margin and affect pricing. Export licence = must be obtained at origin. 0 rows = goods can leave freely with normal export VAT refund.</t>
  </si>
  <si>
    <t>-- STEP 9: EXPORT MEASURES (origin country perspective)
-- Export duties are paid by the SUPPLIER in the origin country — affects their price to you.
-- Must be factored into total landed cost if ExportDutyRate &gt; 0.
-- ExportVATRefundEligible = Y means supplier can reclaim VAT on export (normal).
--   If N — e.g. restricted goods — supplier's cost base is higher.
-- LicenceRequired = Y at origin means supplier must obtain export licence before shipping.
-- Examples: DRC copper 10% export duty, Ivory Coast cocoa must go through COCOBOD.
SELECT
    em.MeasureType,                         -- EXPORT_DUTY / EXPORT_LICENCE / EXPORT_QUOTA / EXPORT_RESTRICTION
    em.ExportDutyRate                       AS ExportDutyRate_Pct,
    em.ExportDutyBasis,                     -- FOB / CIF
    em.LicenceRequired,                     -- Y = export licence required at origin
    em.LicensingAuthority,
    em.QuotaVolumeKG,                       -- annual quota if EXPORT_QUOTA
    em.ExportVATRefundEligible,             -- Y = supplier recovers VAT (normal for exports)
    em.EffectiveFrom,
    em.LegalBasis,
    em.Notes
FROM EXPORT_MEASURE em
WHERE em.ExportCountryCode = :export_country
  AND em.SubheadingCode    = :subheading
  AND em.EffectiveTo       IS NULL;</t>
  </si>
  <si>
    <t>STEP 10</t>
  </si>
  <si>
    <t>DUTY RELIEF  —  Schemes that can reduce or eliminate duty (IPR, customs warehousing, temp admission, end-use).</t>
  </si>
  <si>
    <t>If relevant relief exists: DutyImpact = ZERO/SUSPEND/REDUCE. Check EligibilityCriteria — authorisation usually required.</t>
  </si>
  <si>
    <t>-- STEP 10: DUTY RELIEF SCHEMES
-- These can significantly reduce the total border cost if the trader qualifies.
-- ReliefType:
--   IPR = Inward Processing Relief — import, process, re-export: duty suspended/zero
--   CW  = Customs Warehousing — defer duty until goods leave warehouse (no time limit)
--   TA  = Temporary Admission — import temporarily (trade shows, samples): zero duty
--   EUR = End Use Relief — import for specific purpose: reduced rate
--   OPR = Outward Processing Relief — export for processing, return: duty only on added value
-- DutyImpact: ZERO / SUSPEND / REDUCE
-- AuthorisationRequired = Y means must apply to customs authority before using the scheme.
-- NULL CommodityCode means the relief applies to any commodity (not commodity-specific).
SELECT
    dr.ReliefType,                          -- IPR / CW / TA / EUR / OPR / RECOF
    dr.DutyImpact,                          -- ZERO / SUSPEND / REDUCE
    dr.EligibilityCriteria,
    dr.ApplicationProcedure,
    dr.AuthorisationRequired,
    dr.MaxDurationMonths,                   -- NULL = no time limit
    dr.GuaranteeRequired,                   -- Y = financial guarantee needed
    dr.LegalBasis,
    dr.Notes
FROM DUTY_RELIEF dr
WHERE dr.CountryCode = :import_country
  AND dr.EffectiveTo IS NULL
  AND (dr.CommodityCode = (
           SELECT CommodityCode FROM COMMODITY_CODE
            WHERE SubheadingCode = :subheading
              AND CountryCode    = :import_country
            LIMIT 1)
       OR dr.CommodityCode IS NULL)         -- commodity-specific + catch-all reliefs
ORDER BY dr.DutyImpact ASC;                 -- REDUCE first, then SUSPEND, then ZERO</t>
  </si>
  <si>
    <t>COMBINED LANDED COST SUMMARY — Run after all 10 steps to get a single cost roll-up</t>
  </si>
  <si>
    <t>-- COMBINED LANDED COST SUMMARY
-- Rolls up all duty and tax components into a single landed cost figure.
-- Replace :goods_value with the actual CIF or FOB value of the shipment.
-- Note: this is a SIMPLIFIED summary — Brazil cascade taxes require sequential calculation
--   in application code (each tax base includes prior taxes). See VAT_RATE.VATBasis.
-- Preferential rate used if available AND goods qualify under Rules of Origin (Step 3).
WITH
-- 1. Determine which duty rate applies (preferential if available, else MFN)
effective_duty AS (
    SELECT
        COALESCE(pr.PrefRate, mr.AppliedMFNRate)     AS EffectiveDutyRate_Pct,
        CASE WHEN pr.PrefRate IS NOT NULL
             THEN 'PREFERENTIAL (' || ta.AgreementCode || ')'
             ELSE 'MFN'
        END                                           AS DutyRateSource,
        mr.ValuationBasis,
        mr.DutyExpression
    FROM MFN_RATE mr
    JOIN TARIFF_RATE tr
        ON tr.CommodityCode = mr.CommodityCode
       AND tr.CountryCode   = mr.CountryCode
    LEFT JOIN PREFERENTIAL_RATE pr
        ON  pr.ImportCountryCode  = :import_country
        AND pr.ExportCountryCode  = :export_country
        AND pr.SubheadingCode     = :subheading
        AND pr.EffectiveTo        IS NULL
    LEFT JOIN TRADE_AGREEMENT ta
        ON ta.AgreementCode = pr.AgreementCode
    WHERE tr.CountryCode    = :import_country
      AND tr.SubheadingCode = :subheading
      AND tr.EffectiveTo    IS NULL
      AND mr.RateCategory   = 'APPLIED'
      AND mr.EffectiveTo    IS NULL
),
-- 2. Sum all VAT / indirect tax rates
indirect_taxes AS (
    SELECT
        SUM(vr.Rate)                                  AS TotalIndirectTax_Pct,
        GROUP_CONCAT(vr.TaxType || ':' || vr.Rate || '%'
                     ORDER BY vr.TaxType SEPARATOR ' + ')
                                                      AS TaxBreakdown
    FROM VAT_RATE vr
    WHERE vr.CountryCode    = :import_country
      AND vr.SubheadingCode = :subheading
      AND vr.EffectiveTo    IS NULL
),
-- 3. Sum any AD / CVD / safeguard surcharges
ad_surcharges AS (
    SELECT
        COALESCE(SUM(ad.ADRate), 0)                   AS TotalADSurcharge_Pct,
        GROUP_CONCAT(ad.MeasureType || ':' || ad.ADRate || '%'
                     SEPARATOR ' + ')                 AS ADBreakdown
    FROM AD_MEASURE ad
    WHERE ad.ImportCountryCode = :import_country
      AND ad.ADStatus IN ('PROVISIONAL','DEFINITIVE')
      AND (ad.ExportingCountryCode = :export_country OR ad.ExportingCountryCode IS NULL)
)
-- Final roll-up
SELECT
    ed.DutyRateSource,
    ed.EffectiveDutyRate_Pct                          AS ImportDuty_Pct,
    it.TaxBreakdown,
    it.TotalIndirectTax_Pct,
    ads.ADBreakdown,
    ads.TotalADSurcharge_Pct,
    (ed.EffectiveDutyRate_Pct
     + it.TotalIndirectTax_Pct
     + ads.TotalADSurcharge_Pct)                      AS TotalBorderCost_Pct,
    :goods_value                                       AS GoodsValue,
    (:goods_value *
     (ed.EffectiveDutyRate_Pct
      + it.TotalIndirectTax_Pct
      + ads.TotalADSurcharge_Pct) / 100)              AS EstimatedTotalBorderCost,
    ed.ValuationBasis,
    ed.DutyExpression
FROM effective_duty ed
CROSS JOIN indirect_taxes it
CROSS JOIN ad_surcharges ads;</t>
  </si>
  <si>
    <t>WORKED EXAMPLE — GB → BR  |  Frozen Potato Chips HS 2004.10  |  Goods Value: $10,000 FOB</t>
  </si>
  <si>
    <t>Step</t>
  </si>
  <si>
    <t>Component</t>
  </si>
  <si>
    <t>Result for GB → BR  (Frozen Potato Chips HS 2004.10)</t>
  </si>
  <si>
    <t>1</t>
  </si>
  <si>
    <t>Sanctions</t>
  </si>
  <si>
    <t>✅  No sanctions on Brazil or UK for food commodities — proceed</t>
  </si>
  <si>
    <t>2</t>
  </si>
  <si>
    <t>MFN Duty</t>
  </si>
  <si>
    <t>16.0% FOB — Brazil MERCOSUL Common External Tariff (NCM 20041000). Bound rate: 16.0%.</t>
  </si>
  <si>
    <t>3</t>
  </si>
  <si>
    <t>Trade Agreement</t>
  </si>
  <si>
    <t>❌  No FTA/GSP between UK and Brazil — MFN rate of 16% applies. Brazil is not a UK-DCTS beneficiary. CPTPP does not include Brazil.</t>
  </si>
  <si>
    <t>4</t>
  </si>
  <si>
    <t>Indirect Taxes</t>
  </si>
  <si>
    <t>II: 16% FOB + IPI: 0% + PIS: 2.1% + COFINS: 9.65% + ICMS (SP): 18% = ~45.75% total. Note: taxes cascade — ICMS applied to total import value including all prior taxes.</t>
  </si>
  <si>
    <t>5</t>
  </si>
  <si>
    <t>AD / CVD</t>
  </si>
  <si>
    <t>✅  No active anti-dumping or countervailing measures on UK-origin frozen potato products entering Brazil.</t>
  </si>
  <si>
    <t>6</t>
  </si>
  <si>
    <t>Excise</t>
  </si>
  <si>
    <t>✅  No excise duty — frozen potato chips are not an excisable commodity in Brazil.</t>
  </si>
  <si>
    <t>7</t>
  </si>
  <si>
    <t>⚠️  ANVISA registration required. Foreign company must appoint a Brazilian legal representative. ANVISA product notification number must appear on label.</t>
  </si>
  <si>
    <t>8</t>
  </si>
  <si>
    <t>Import Conditions</t>
  </si>
  <si>
    <t>⚠️  Portuguese language labelling (NTM B31) — product name, ingredients, net weight, shelf life, storage conditions, country of origin all in Portuguese per RDC 429/2020.</t>
  </si>
  <si>
    <t>9</t>
  </si>
  <si>
    <t>Export Measures</t>
  </si>
  <si>
    <t>✅  No export duty on frozen potato chips from UK. UK zero-rates exports — VAT refund eligible.</t>
  </si>
  <si>
    <t>10</t>
  </si>
  <si>
    <t>Duty Relief</t>
  </si>
  <si>
    <t>ℹ️  IPR potentially available if goods are processed in Brazil before onward sale. RECOF scheme available for export-oriented Brazilian companies.</t>
  </si>
  <si>
    <t>—</t>
  </si>
  <si>
    <t>TOTAL BORDER COST</t>
  </si>
  <si>
    <t>~45.75% of goods value — all from Brazilian indirect taxes. On $10,000 FOB shipment: estimated total border cost ≈ $4,575. Note: no preferential rate available — MFN applies in full.</t>
  </si>
  <si>
    <t>HOW TO USE: Replace :export_country, :import_country and :subheading with your values. Run each of the 10 SQL queries in sequence. The combined summary query rolls up all costs in one result. Always run Step 1 (Sanctions) first — if active sanctions are returned, stop and escalate before proceeding.</t>
  </si>
  <si>
    <t>QUERY EXAMPLES — Pre-Built Outputs for Core Business Queries</t>
  </si>
  <si>
    <t>QUERY 1 — Full Border Cost on Frozen Potato Chips (HS 2004.10) — All 17 Countries  (MFN + VAT + AD where applicable)</t>
  </si>
  <si>
    <t>CountryCode</t>
  </si>
  <si>
    <t>MFN Duty %</t>
  </si>
  <si>
    <t>VAT / Indirect Tax</t>
  </si>
  <si>
    <t>AD Surcharge</t>
  </si>
  <si>
    <t>Total Border Cost %</t>
  </si>
  <si>
    <t>Best Pref. Rate</t>
  </si>
  <si>
    <t>Key Notes</t>
  </si>
  <si>
    <t>14% IVA</t>
  </si>
  <si>
    <t>-</t>
  </si>
  <si>
    <t>0% (UK-DCTS-ELDP)</t>
  </si>
  <si>
    <t>21% IVA</t>
  </si>
  <si>
    <t>0% (MERCOSUL intra)</t>
  </si>
  <si>
    <t>0% GST (zero-rated food)</t>
  </si>
  <si>
    <t>0% (UK-AUSFTA yr1→0%)</t>
  </si>
  <si>
    <t>GST zero for basic food</t>
  </si>
  <si>
    <t>IPI 0% + PIS 2.1% + COFINS 9.65% + ICMS 18%</t>
  </si>
  <si>
    <t>5 separate taxes stack — see VAT_RATE</t>
  </si>
  <si>
    <t>19% IVA</t>
  </si>
  <si>
    <t>0% (UK-Chile EPA)</t>
  </si>
  <si>
    <t>Dominican Rep.</t>
  </si>
  <si>
    <t>18% ITBIS</t>
  </si>
  <si>
    <t>N/A</t>
  </si>
  <si>
    <t>0% VAT (zero-rated food)</t>
  </si>
  <si>
    <t>0% (DCTS: AO,MU,PH)</t>
  </si>
  <si>
    <t>VAT 0% for food — PVA available</t>
  </si>
  <si>
    <t>15% VAT</t>
  </si>
  <si>
    <t>15% safeguard</t>
  </si>
  <si>
    <t>Safeguard stacks on MFN → 30% total duty</t>
  </si>
  <si>
    <t>0% IVA (zero-rated food)</t>
  </si>
  <si>
    <t>0% (CPTPP members)</t>
  </si>
  <si>
    <t>IVA zero for basic food</t>
  </si>
  <si>
    <t>0% (UK-SACUM)</t>
  </si>
  <si>
    <t>SACU compound duty</t>
  </si>
  <si>
    <t>5% VAT</t>
  </si>
  <si>
    <t>N/A (UK-GCC TBD)</t>
  </si>
  <si>
    <t>12% VAT</t>
  </si>
  <si>
    <t>AD under investigation</t>
  </si>
  <si>
    <t>0% (UK-DCTS)</t>
  </si>
  <si>
    <t>AD provisional measures expected Q3 2025</t>
  </si>
  <si>
    <t>VAT increased from 5% to 15% Jul 2020</t>
  </si>
  <si>
    <t>7% VAT</t>
  </si>
  <si>
    <t>0% (ATIGA — ASEAN)</t>
  </si>
  <si>
    <t>Reduced from 40% in 2023</t>
  </si>
  <si>
    <t>UAE</t>
  </si>
  <si>
    <t>22% IVA</t>
  </si>
  <si>
    <t>VAT zero for basic food</t>
  </si>
  <si>
    <t>QUERY 2 — Countries Where VAT / Duty Has INCREASED (from TARIFF_RATE_HIST)</t>
  </si>
  <si>
    <t>HS Subheading</t>
  </si>
  <si>
    <t>Rate Type</t>
  </si>
  <si>
    <t>Old Rate %</t>
  </si>
  <si>
    <t>New Rate %</t>
  </si>
  <si>
    <t>Change</t>
  </si>
  <si>
    <t>Effective From</t>
  </si>
  <si>
    <t>Legal Basis</t>
  </si>
  <si>
    <t>2004.10</t>
  </si>
  <si>
    <t>Import Duty</t>
  </si>
  <si>
    <t>+15pp</t>
  </si>
  <si>
    <t>ICMS VAT</t>
  </si>
  <si>
    <t>+6pp</t>
  </si>
  <si>
    <t>+4.4pp</t>
  </si>
  <si>
    <t>SI 2021/1046</t>
  </si>
  <si>
    <t>+10pp</t>
  </si>
  <si>
    <t>Royal Decree M/113</t>
  </si>
  <si>
    <t>+3pp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</si>
</sst>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sz val="11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5"/>
      <color rgb="FFFFFFFF"/>
      <name val="Arial"/>
      <family val="2"/>
    </font>
    <font>
      <b/>
      <sz val="9"/>
      <color rgb="FFC0392B"/>
      <name val="Arial"/>
      <family val="2"/>
    </font>
    <font>
      <b/>
      <sz val="10"/>
      <color rgb="FF00A86B"/>
      <name val="Arial"/>
      <family val="2"/>
    </font>
    <font>
      <b/>
      <sz val="10"/>
      <color rgb="FF1B2A5A"/>
      <name val="Arial"/>
      <family val="2"/>
    </font>
    <font>
      <b/>
      <sz val="10"/>
      <color rgb="FFC0392B"/>
      <name val="Arial"/>
      <family val="2"/>
    </font>
    <font>
      <b/>
      <sz val="10"/>
      <color rgb="FF0D7377"/>
      <name val="Arial"/>
      <family val="2"/>
    </font>
    <font>
      <b/>
      <sz val="10"/>
      <color rgb="FFFFB830"/>
      <name val="Arial"/>
      <family val="2"/>
    </font>
    <font>
      <u/>
      <sz val="9"/>
      <color rgb="FF0000CC"/>
      <name val="Arial"/>
      <family val="2"/>
    </font>
    <font>
      <b/>
      <sz val="10"/>
      <color rgb="FFE5007A"/>
      <name val="Arial"/>
      <family val="2"/>
    </font>
    <font>
      <b/>
      <sz val="10"/>
      <color rgb="FF5C3D8F"/>
      <name val="Arial"/>
      <family val="2"/>
    </font>
    <font>
      <b/>
      <sz val="10"/>
      <color rgb="FF8B0000"/>
      <name val="Arial"/>
      <family val="2"/>
    </font>
    <font>
      <sz val="10"/>
      <color rgb="FF1B2A5A"/>
      <name val="Arial"/>
      <family val="2"/>
    </font>
    <font>
      <b/>
      <sz val="10"/>
      <color rgb="FFE67E22"/>
      <name val="Arial"/>
      <family val="2"/>
    </font>
    <font>
      <b/>
      <sz val="10"/>
      <color rgb="FF795548"/>
      <name val="Arial"/>
      <family val="2"/>
    </font>
    <font>
      <b/>
      <sz val="10"/>
      <color rgb="FF6B7280"/>
      <name val="Arial"/>
      <family val="2"/>
    </font>
    <font>
      <b/>
      <sz val="14"/>
      <color rgb="FFFFFFFF"/>
      <name val="Arial"/>
      <family val="2"/>
    </font>
    <font>
      <b/>
      <sz val="9"/>
      <color rgb="FFFFFFFF"/>
      <name val="Arial"/>
      <family val="2"/>
    </font>
    <font>
      <i/>
      <sz val="9"/>
      <color rgb="FFFFB830"/>
      <name val="Arial"/>
      <family val="2"/>
    </font>
    <font>
      <i/>
      <sz val="9"/>
      <color rgb="FF555555"/>
      <name val="Arial"/>
      <family val="2"/>
    </font>
    <font>
      <sz val="9"/>
      <color rgb="FF1A3060"/>
      <name val="Courier New"/>
      <family val="1"/>
    </font>
    <font>
      <b/>
      <sz val="9"/>
      <color rgb="FF1B2A5A"/>
      <name val="Arial"/>
      <family val="2"/>
    </font>
    <font>
      <b/>
      <sz val="9"/>
      <color rgb="FF00A86B"/>
      <name val="Arial"/>
      <family val="2"/>
    </font>
    <font>
      <b/>
      <sz val="9"/>
      <color rgb="FF558B2F"/>
      <name val="Arial"/>
      <family val="2"/>
    </font>
    <font>
      <b/>
      <sz val="9"/>
      <color rgb="FFFFB830"/>
      <name val="Arial"/>
      <family val="2"/>
    </font>
    <font>
      <sz val="9"/>
      <color rgb="FF222222"/>
      <name val="Arial"/>
      <family val="2"/>
    </font>
    <font>
      <i/>
      <sz val="9"/>
      <color rgb="FF1B2A5A"/>
      <name val="Arial"/>
      <family val="2"/>
    </font>
    <font>
      <b/>
      <sz val="13"/>
      <color rgb="FFFFFFFF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B2A5A"/>
        <bgColor rgb="FF1A3060"/>
      </patternFill>
    </fill>
    <fill>
      <patternFill patternType="solid">
        <fgColor rgb="FFE5007A"/>
        <bgColor rgb="FFFF00FF"/>
      </patternFill>
    </fill>
    <fill>
      <patternFill patternType="solid">
        <fgColor rgb="FF0D7377"/>
        <bgColor rgb="FF0066CC"/>
      </patternFill>
    </fill>
    <fill>
      <patternFill patternType="solid">
        <fgColor rgb="FFF2F4F8"/>
        <bgColor rgb="FFF8F8FF"/>
      </patternFill>
    </fill>
    <fill>
      <patternFill patternType="solid">
        <fgColor rgb="FFC0392B"/>
        <bgColor rgb="FF993366"/>
      </patternFill>
    </fill>
    <fill>
      <patternFill patternType="solid">
        <fgColor rgb="FF5C3D8F"/>
        <bgColor rgb="FF555555"/>
      </patternFill>
    </fill>
    <fill>
      <patternFill patternType="solid">
        <fgColor rgb="FF558B2F"/>
        <bgColor rgb="FF808000"/>
      </patternFill>
    </fill>
    <fill>
      <patternFill patternType="solid">
        <fgColor rgb="FF00A86B"/>
        <bgColor rgb="FF0D7377"/>
      </patternFill>
    </fill>
    <fill>
      <patternFill patternType="solid">
        <fgColor rgb="FF795548"/>
        <bgColor rgb="FF555555"/>
      </patternFill>
    </fill>
    <fill>
      <patternFill patternType="solid">
        <fgColor rgb="FFFFFFFF"/>
        <bgColor rgb="FFF8F8FF"/>
      </patternFill>
    </fill>
    <fill>
      <patternFill patternType="solid">
        <fgColor rgb="FFFFF0F0"/>
        <bgColor rgb="FFF2F4F8"/>
      </patternFill>
    </fill>
    <fill>
      <patternFill patternType="solid">
        <fgColor rgb="FFFFB830"/>
        <bgColor rgb="FFFF9900"/>
      </patternFill>
    </fill>
    <fill>
      <patternFill patternType="solid">
        <fgColor rgb="FFFFDEDE"/>
        <bgColor rgb="FFFDDEDE"/>
      </patternFill>
    </fill>
    <fill>
      <patternFill patternType="solid">
        <fgColor rgb="FFE67E22"/>
        <bgColor rgb="FFFF9900"/>
      </patternFill>
    </fill>
    <fill>
      <patternFill patternType="solid">
        <fgColor rgb="FFFFFBE6"/>
        <bgColor rgb="FFFFFFFF"/>
      </patternFill>
    </fill>
    <fill>
      <patternFill patternType="solid">
        <fgColor rgb="FFE8EDF8"/>
        <bgColor rgb="FFF2F4F8"/>
      </patternFill>
    </fill>
    <fill>
      <patternFill patternType="solid">
        <fgColor rgb="FFF8F8FF"/>
        <bgColor rgb="FFF2F4F8"/>
      </patternFill>
    </fill>
    <fill>
      <patternFill patternType="solid">
        <fgColor rgb="FFDDFAF0"/>
        <bgColor rgb="FFE8EDF8"/>
      </patternFill>
    </fill>
    <fill>
      <patternFill patternType="solid">
        <fgColor rgb="FFFDDEDE"/>
        <bgColor rgb="FFFFDEDE"/>
      </patternFill>
    </fill>
  </fills>
  <borders count="1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rgb="FFC0392B"/>
      </left>
      <right style="medium">
        <color rgb="FFC0392B"/>
      </right>
      <top style="medium">
        <color rgb="FFC0392B"/>
      </top>
      <bottom/>
      <diagonal/>
    </border>
    <border>
      <left style="medium">
        <color rgb="FFC0392B"/>
      </left>
      <right/>
      <top style="medium">
        <color rgb="FFC0392B"/>
      </top>
      <bottom style="medium">
        <color rgb="FFC0392B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 style="medium">
        <color rgb="FF1B2A5A"/>
      </left>
      <right style="medium">
        <color rgb="FF1B2A5A"/>
      </right>
      <top style="medium">
        <color rgb="FF1B2A5A"/>
      </top>
      <bottom/>
      <diagonal/>
    </border>
    <border>
      <left style="medium">
        <color rgb="FF1B2A5A"/>
      </left>
      <right/>
      <top style="medium">
        <color rgb="FF1B2A5A"/>
      </top>
      <bottom style="medium">
        <color rgb="FF1B2A5A"/>
      </bottom>
      <diagonal/>
    </border>
    <border>
      <left style="medium">
        <color rgb="FF00A86B"/>
      </left>
      <right style="medium">
        <color rgb="FF00A86B"/>
      </right>
      <top style="medium">
        <color rgb="FF00A86B"/>
      </top>
      <bottom/>
      <diagonal/>
    </border>
    <border>
      <left style="medium">
        <color rgb="FF00A86B"/>
      </left>
      <right/>
      <top style="medium">
        <color rgb="FF00A86B"/>
      </top>
      <bottom style="medium">
        <color rgb="FF00A86B"/>
      </bottom>
      <diagonal/>
    </border>
    <border>
      <left style="medium">
        <color rgb="FF558B2F"/>
      </left>
      <right style="medium">
        <color rgb="FF558B2F"/>
      </right>
      <top style="medium">
        <color rgb="FF558B2F"/>
      </top>
      <bottom/>
      <diagonal/>
    </border>
    <border>
      <left style="medium">
        <color rgb="FF558B2F"/>
      </left>
      <right/>
      <top style="medium">
        <color rgb="FF558B2F"/>
      </top>
      <bottom style="medium">
        <color rgb="FF558B2F"/>
      </bottom>
      <diagonal/>
    </border>
    <border>
      <left style="medium">
        <color rgb="FFFFB830"/>
      </left>
      <right style="medium">
        <color rgb="FFFFB830"/>
      </right>
      <top style="medium">
        <color rgb="FFFFB830"/>
      </top>
      <bottom/>
      <diagonal/>
    </border>
    <border>
      <left style="medium">
        <color rgb="FFFFB830"/>
      </left>
      <right/>
      <top style="medium">
        <color rgb="FFFFB830"/>
      </top>
      <bottom style="medium">
        <color rgb="FFFFB830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4" fillId="11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15" fillId="14" borderId="1" xfId="0" applyFont="1" applyFill="1" applyBorder="1" applyAlignment="1">
      <alignment horizontal="left" vertical="center" wrapText="1"/>
    </xf>
    <xf numFmtId="0" fontId="16" fillId="12" borderId="1" xfId="0" applyFont="1" applyFill="1" applyBorder="1" applyAlignment="1">
      <alignment horizontal="left" vertical="center" wrapText="1"/>
    </xf>
    <xf numFmtId="0" fontId="9" fillId="14" borderId="1" xfId="0" applyFont="1" applyFill="1" applyBorder="1" applyAlignment="1">
      <alignment horizontal="left" vertical="center" wrapText="1"/>
    </xf>
    <xf numFmtId="0" fontId="15" fillId="12" borderId="1" xfId="0" applyFont="1" applyFill="1" applyBorder="1" applyAlignment="1">
      <alignment horizontal="left" vertical="center" wrapText="1"/>
    </xf>
    <xf numFmtId="0" fontId="16" fillId="14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17" fillId="11" borderId="1" xfId="0" applyFont="1" applyFill="1" applyBorder="1" applyAlignment="1">
      <alignment horizontal="left" vertical="center" wrapText="1"/>
    </xf>
    <xf numFmtId="0" fontId="18" fillId="11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left" vertical="center" wrapText="1"/>
    </xf>
    <xf numFmtId="0" fontId="12" fillId="16" borderId="1" xfId="0" applyFont="1" applyFill="1" applyBorder="1" applyAlignment="1">
      <alignment horizontal="left" vertical="center" wrapText="1"/>
    </xf>
    <xf numFmtId="0" fontId="20" fillId="11" borderId="1" xfId="0" applyFont="1" applyFill="1" applyBorder="1" applyAlignment="1">
      <alignment horizontal="left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left" vertical="top"/>
    </xf>
    <xf numFmtId="0" fontId="7" fillId="5" borderId="1" xfId="0" applyFont="1" applyFill="1" applyBorder="1" applyAlignment="1">
      <alignment horizontal="left" vertical="top"/>
    </xf>
    <xf numFmtId="0" fontId="24" fillId="5" borderId="1" xfId="0" applyFont="1" applyFill="1" applyBorder="1" applyAlignment="1">
      <alignment horizontal="left" vertical="top" wrapText="1"/>
    </xf>
    <xf numFmtId="0" fontId="26" fillId="5" borderId="1" xfId="0" applyFont="1" applyFill="1" applyBorder="1" applyAlignment="1">
      <alignment horizontal="left" vertical="top"/>
    </xf>
    <xf numFmtId="0" fontId="27" fillId="5" borderId="1" xfId="0" applyFont="1" applyFill="1" applyBorder="1" applyAlignment="1">
      <alignment horizontal="left" vertical="top"/>
    </xf>
    <xf numFmtId="0" fontId="28" fillId="5" borderId="1" xfId="0" applyFont="1" applyFill="1" applyBorder="1" applyAlignment="1">
      <alignment horizontal="left" vertical="top"/>
    </xf>
    <xf numFmtId="0" fontId="29" fillId="5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 wrapText="1"/>
    </xf>
    <xf numFmtId="0" fontId="30" fillId="5" borderId="1" xfId="0" applyFont="1" applyFill="1" applyBorder="1" applyAlignment="1">
      <alignment horizontal="left" vertical="top" wrapText="1"/>
    </xf>
    <xf numFmtId="0" fontId="26" fillId="11" borderId="1" xfId="0" applyFont="1" applyFill="1" applyBorder="1" applyAlignment="1">
      <alignment horizontal="left" vertical="top"/>
    </xf>
    <xf numFmtId="0" fontId="30" fillId="11" borderId="1" xfId="0" applyFont="1" applyFill="1" applyBorder="1" applyAlignment="1">
      <alignment horizontal="left" vertical="top" wrapText="1"/>
    </xf>
    <xf numFmtId="0" fontId="7" fillId="12" borderId="1" xfId="0" applyFont="1" applyFill="1" applyBorder="1" applyAlignment="1">
      <alignment horizontal="left" vertical="top" wrapText="1"/>
    </xf>
    <xf numFmtId="0" fontId="8" fillId="19" borderId="1" xfId="0" applyFont="1" applyFill="1" applyBorder="1" applyAlignment="1">
      <alignment horizontal="left" vertical="center" wrapText="1"/>
    </xf>
    <xf numFmtId="0" fontId="10" fillId="20" borderId="1" xfId="0" applyFont="1" applyFill="1" applyBorder="1" applyAlignment="1">
      <alignment horizontal="left" vertical="center" wrapText="1"/>
    </xf>
    <xf numFmtId="0" fontId="3" fillId="9" borderId="0" xfId="0" applyFont="1" applyFill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7" fillId="12" borderId="0" xfId="0" applyFont="1" applyFill="1" applyAlignment="1">
      <alignment horizontal="left" vertical="center" wrapText="1"/>
    </xf>
    <xf numFmtId="0" fontId="3" fillId="13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15" borderId="0" xfId="0" applyFont="1" applyFill="1" applyAlignment="1">
      <alignment horizontal="center" vertical="center" wrapText="1"/>
    </xf>
    <xf numFmtId="0" fontId="25" fillId="18" borderId="5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center" vertical="center" wrapText="1"/>
    </xf>
    <xf numFmtId="0" fontId="31" fillId="17" borderId="2" xfId="0" applyFont="1" applyFill="1" applyBorder="1" applyAlignment="1">
      <alignment horizontal="left" vertical="top" wrapText="1"/>
    </xf>
    <xf numFmtId="0" fontId="3" fillId="8" borderId="10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left" vertical="top"/>
    </xf>
    <xf numFmtId="0" fontId="3" fillId="13" borderId="12" xfId="0" applyFont="1" applyFill="1" applyBorder="1" applyAlignment="1">
      <alignment horizontal="center" vertical="center" wrapText="1"/>
    </xf>
    <xf numFmtId="0" fontId="3" fillId="13" borderId="13" xfId="0" applyFont="1" applyFill="1" applyBorder="1" applyAlignment="1">
      <alignment horizontal="left" vertical="top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left" vertical="top"/>
    </xf>
    <xf numFmtId="0" fontId="3" fillId="9" borderId="8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top"/>
    </xf>
    <xf numFmtId="0" fontId="21" fillId="2" borderId="0" xfId="0" applyFont="1" applyFill="1" applyAlignment="1">
      <alignment horizontal="center" vertical="center" wrapText="1"/>
    </xf>
    <xf numFmtId="0" fontId="23" fillId="16" borderId="2" xfId="0" applyFont="1" applyFill="1" applyBorder="1" applyAlignment="1">
      <alignment horizontal="left" vertical="top" wrapText="1"/>
    </xf>
    <xf numFmtId="0" fontId="3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5007A"/>
      <rgbColor rgb="FF00FF00"/>
      <rgbColor rgb="FF0000CC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D7377"/>
      <rgbColor rgb="FFCCCCCC"/>
      <rgbColor rgb="FF555555"/>
      <rgbColor rgb="FF9999FF"/>
      <rgbColor rgb="FF795548"/>
      <rgbColor rgb="FFFFFBE6"/>
      <rgbColor rgb="FFDDFAF0"/>
      <rgbColor rgb="FF660066"/>
      <rgbColor rgb="FFFF8080"/>
      <rgbColor rgb="FF0066CC"/>
      <rgbColor rgb="FFFDDEDE"/>
      <rgbColor rgb="FF000080"/>
      <rgbColor rgb="FFFF00FF"/>
      <rgbColor rgb="FFFFFF00"/>
      <rgbColor rgb="FF00FFFF"/>
      <rgbColor rgb="FF800080"/>
      <rgbColor rgb="FF800000"/>
      <rgbColor rgb="FF00A86B"/>
      <rgbColor rgb="FF0000FF"/>
      <rgbColor rgb="FF00CCFF"/>
      <rgbColor rgb="FFE8EDF8"/>
      <rgbColor rgb="FFF2F4F8"/>
      <rgbColor rgb="FFFFF0F0"/>
      <rgbColor rgb="FFF8F8FF"/>
      <rgbColor rgb="FFFF99CC"/>
      <rgbColor rgb="FFCC99FF"/>
      <rgbColor rgb="FFFFDEDE"/>
      <rgbColor rgb="FF3366FF"/>
      <rgbColor rgb="FF33CCCC"/>
      <rgbColor rgb="FF99CC00"/>
      <rgbColor rgb="FFFFB830"/>
      <rgbColor rgb="FFFF9900"/>
      <rgbColor rgb="FFE67E22"/>
      <rgbColor rgb="FF6B7280"/>
      <rgbColor rgb="FF999999"/>
      <rgbColor rgb="FF1A3060"/>
      <rgbColor rgb="FF558B2F"/>
      <rgbColor rgb="FF003300"/>
      <rgbColor rgb="FF1B2A5A"/>
      <rgbColor rgb="FFC0392B"/>
      <rgbColor rgb="FF993366"/>
      <rgbColor rgb="FF5C3D8F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COUNTRY" displayName="COUNTRY" ref="A2:H19" totalsRowShown="0">
  <autoFilter ref="A2:H19" xr:uid="{00000000-0009-0000-0100-000003000000}"/>
  <tableColumns count="8">
    <tableColumn id="1" xr3:uid="{00000000-0010-0000-0000-000001000000}" name="CountryCode_x000a_(PK·ISO-2)"/>
    <tableColumn id="2" xr3:uid="{00000000-0010-0000-0000-000002000000}" name="CountryCode3_x000a_(ISO-3)"/>
    <tableColumn id="3" xr3:uid="{00000000-0010-0000-0000-000003000000}" name="CountryName"/>
    <tableColumn id="4" xr3:uid="{00000000-0010-0000-0000-000004000000}" name="Region"/>
    <tableColumn id="5" xr3:uid="{00000000-0010-0000-0000-000005000000}" name="TariffScheduleAuthority"/>
    <tableColumn id="6" xr3:uid="{00000000-0010-0000-0000-000006000000}" name="CurrencyCode_x000a_(ISO 4217)"/>
    <tableColumn id="7" xr3:uid="{00000000-0010-0000-0000-000007000000}" name="ValuationBasis_x000a_(CIF/FOB)"/>
    <tableColumn id="8" xr3:uid="{00000000-0010-0000-0000-000008000000}" name="IsActiv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HS_SECTION" displayName="HS_SECTION" ref="A2:D23" totalsRowShown="0">
  <autoFilter ref="A2:D23" xr:uid="{00000000-0009-0000-0100-000008000000}"/>
  <tableColumns count="4">
    <tableColumn id="1" xr3:uid="{00000000-0010-0000-0100-000001000000}" name="SectionCode_x000a_(PK)"/>
    <tableColumn id="2" xr3:uid="{00000000-0010-0000-0100-000002000000}" name="SectionTitle"/>
    <tableColumn id="3" xr3:uid="{00000000-0010-0000-0100-000003000000}" name="ChapterRange"/>
    <tableColumn id="4" xr3:uid="{00000000-0010-0000-0100-000004000000}" name="Note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HS_HEADING" displayName="HS_HEADING" ref="A2:F9" totalsRowShown="0">
  <autoFilter ref="A2:F9" xr:uid="{00000000-0009-0000-0100-000007000000}"/>
  <tableColumns count="6">
    <tableColumn id="1" xr3:uid="{00000000-0010-0000-0200-000001000000}" name="HeadingCode_x000a_(PK·4-digit)"/>
    <tableColumn id="2" xr3:uid="{00000000-0010-0000-0200-000002000000}" name="ChapterCode_x000a_(FK)"/>
    <tableColumn id="3" xr3:uid="{00000000-0010-0000-0200-000003000000}" name="HeadingDescription"/>
    <tableColumn id="4" xr3:uid="{00000000-0010-0000-0200-000004000000}" name="SectionCode_x000a_(FK)"/>
    <tableColumn id="5" xr3:uid="{00000000-0010-0000-0200-000005000000}" name="ClassificationNotes"/>
    <tableColumn id="6" xr3:uid="{00000000-0010-0000-0200-000006000000}" name="HSVersion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3000000}" name="HS_SUBHEADING" displayName="HS_SUBHEADING" ref="A3:G10" totalsRowShown="0">
  <autoFilter ref="A3:G10" xr:uid="{00000000-0009-0000-0100-000009000000}"/>
  <tableColumns count="7">
    <tableColumn id="1" xr3:uid="{00000000-0010-0000-0300-000001000000}" name="SubheadingCode_x000a_(PK·6-digit)"/>
    <tableColumn id="2" xr3:uid="{00000000-0010-0000-0300-000002000000}" name="HSVersion_x000a_(PK)"/>
    <tableColumn id="3" xr3:uid="{00000000-0010-0000-0300-000003000000}" name="HeadingCode_x000a_(FK)"/>
    <tableColumn id="4" xr3:uid="{00000000-0010-0000-0300-000004000000}" name="SubheadingDescription"/>
    <tableColumn id="5" xr3:uid="{00000000-0010-0000-0300-000005000000}" name="StatisticalUnit"/>
    <tableColumn id="6" xr3:uid="{00000000-0010-0000-0300-000006000000}" name="DutyBasis"/>
    <tableColumn id="7" xr3:uid="{00000000-0010-0000-0300-000007000000}" name="ClassificationNote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COMMODITY_CODE" displayName="COMMODITY_CODE" ref="A3:H24" totalsRowShown="0">
  <autoFilter ref="A3:H24" xr:uid="{00000000-0009-0000-0100-000002000000}"/>
  <tableColumns count="8">
    <tableColumn id="1" xr3:uid="{00000000-0010-0000-0400-000001000000}" name="CommodityCode_x000a_(PK·national)"/>
    <tableColumn id="2" xr3:uid="{00000000-0010-0000-0400-000002000000}" name="CountryCode_x000a_(PK·ISO)"/>
    <tableColumn id="3" xr3:uid="{00000000-0010-0000-0400-000003000000}" name="SubheadingCode_x000a_(FK·6-digit WCO)"/>
    <tableColumn id="4" xr3:uid="{00000000-0010-0000-0400-000004000000}" name="HSVersion_x000a_(FK)"/>
    <tableColumn id="5" xr3:uid="{00000000-0010-0000-0400-000005000000}" name="NationalDescription"/>
    <tableColumn id="6" xr3:uid="{00000000-0010-0000-0400-000006000000}" name="SupplementaryUnit"/>
    <tableColumn id="7" xr3:uid="{00000000-0010-0000-0400-000007000000}" name="CodeLength"/>
    <tableColumn id="8" xr3:uid="{00000000-0010-0000-0400-000008000000}" name="IsActive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5000000}" name="MFN_RATE" displayName="MFN_RATE" ref="A3:O25" totalsRowShown="0">
  <autoFilter ref="A3:O25" xr:uid="{00000000-0009-0000-0100-00000B000000}"/>
  <tableColumns count="15">
    <tableColumn id="1" xr3:uid="{00000000-0010-0000-0500-000001000000}" name="CommodityCode_x000a_(FK)"/>
    <tableColumn id="2" xr3:uid="{00000000-0010-0000-0500-000002000000}" name="CountryCode_x000a_(FK)"/>
    <tableColumn id="3" xr3:uid="{00000000-0010-0000-0500-000003000000}" name="RateCategory"/>
    <tableColumn id="4" xr3:uid="{00000000-0010-0000-0500-000004000000}" name="DutyBasisType"/>
    <tableColumn id="5" xr3:uid="{00000000-0010-0000-0500-000005000000}" name="BoundRate_x000a_(%·WTO ceiling)"/>
    <tableColumn id="6" xr3:uid="{00000000-0010-0000-0500-000006000000}" name="AppliedMFNRate_x000a_(%·actual)"/>
    <tableColumn id="7" xr3:uid="{00000000-0010-0000-0500-000007000000}" name="SpecificDutyAmt"/>
    <tableColumn id="8" xr3:uid="{00000000-0010-0000-0500-000008000000}" name="SpecificDutyUOM"/>
    <tableColumn id="9" xr3:uid="{00000000-0010-0000-0500-000009000000}" name="DutyExpression"/>
    <tableColumn id="10" xr3:uid="{00000000-0010-0000-0500-00000A000000}" name="ValuationBasis"/>
    <tableColumn id="11" xr3:uid="{00000000-0010-0000-0500-00000B000000}" name="TRQVolumeKG"/>
    <tableColumn id="12" xr3:uid="{00000000-0010-0000-0500-00000C000000}" name="SeasonalFrom_x000a_(MM-DD)"/>
    <tableColumn id="13" xr3:uid="{00000000-0010-0000-0500-00000D000000}" name="SeasonalTo_x000a_(MM-DD)"/>
    <tableColumn id="14" xr3:uid="{00000000-0010-0000-0500-00000E000000}" name="EffectiveFrom"/>
    <tableColumn id="15" xr3:uid="{00000000-0010-0000-0500-00000F000000}" name="EffectiveTo_x000a_(null=current)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6000000}" name="TARIFF_RATE" displayName="TARIFF_RATE" ref="A3:J23" totalsRowShown="0">
  <autoFilter ref="A3:J23" xr:uid="{00000000-0009-0000-0100-000013000000}"/>
  <tableColumns count="10">
    <tableColumn id="1" xr3:uid="{00000000-0010-0000-0600-000001000000}" name="CommodityCode_x000a_(FK)"/>
    <tableColumn id="2" xr3:uid="{00000000-0010-0000-0600-000002000000}" name="CountryCode_x000a_(FK)"/>
    <tableColumn id="3" xr3:uid="{00000000-0010-0000-0600-000003000000}" name="SubheadingCode"/>
    <tableColumn id="4" xr3:uid="{00000000-0010-0000-0600-000004000000}" name="AppliedMFNRate_x000a_(%·see MFN_RATE)"/>
    <tableColumn id="5" xr3:uid="{00000000-0010-0000-0600-000005000000}" name="ValuationBasis"/>
    <tableColumn id="6" xr3:uid="{00000000-0010-0000-0600-000006000000}" name="DutyExpression"/>
    <tableColumn id="7" xr3:uid="{00000000-0010-0000-0600-000007000000}" name="EffectiveFrom"/>
    <tableColumn id="8" xr3:uid="{00000000-0010-0000-0600-000008000000}" name="EffectiveTo_x000a_(null=current)"/>
    <tableColumn id="9" xr3:uid="{00000000-0010-0000-0600-000009000000}" name="LastReviewedAt"/>
    <tableColumn id="10" xr3:uid="{00000000-0010-0000-0600-00000A000000}" name="DataSource+URL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7000000}" name="TARIFF_RATE_HIST" displayName="TARIFF_RATE_HIST" ref="A3:M8" totalsRowShown="0">
  <autoFilter ref="A3:M8" xr:uid="{00000000-0009-0000-0100-000014000000}"/>
  <tableColumns count="13">
    <tableColumn id="1" xr3:uid="{00000000-0010-0000-0700-000001000000}" name="HistoryID_x000a_(PK·auto)"/>
    <tableColumn id="2" xr3:uid="{00000000-0010-0000-0700-000002000000}" name="CommodityCode_x000a_(FK)"/>
    <tableColumn id="3" xr3:uid="{00000000-0010-0000-0700-000003000000}" name="CountryCode_x000a_(FK)"/>
    <tableColumn id="4" xr3:uid="{00000000-0010-0000-0700-000004000000}" name="SubheadingCode"/>
    <tableColumn id="5" xr3:uid="{00000000-0010-0000-0700-000005000000}" name="RateType"/>
    <tableColumn id="6" xr3:uid="{00000000-0010-0000-0700-000006000000}" name="OldRate_x000a_(%)"/>
    <tableColumn id="7" xr3:uid="{00000000-0010-0000-0700-000007000000}" name="NewRate_x000a_(%)"/>
    <tableColumn id="8" xr3:uid="{00000000-0010-0000-0700-000008000000}" name="ChangeType"/>
    <tableColumn id="9" xr3:uid="{00000000-0010-0000-0700-000009000000}" name="EffectiveFrom"/>
    <tableColumn id="10" xr3:uid="{00000000-0010-0000-0700-00000A000000}" name="EffectiveTo"/>
    <tableColumn id="11" xr3:uid="{00000000-0010-0000-0700-00000B000000}" name="LegalBasis"/>
    <tableColumn id="12" xr3:uid="{00000000-0010-0000-0700-00000C000000}" name="ChangedBy_x000a_(auto/user)"/>
    <tableColumn id="13" xr3:uid="{00000000-0010-0000-0700-00000D000000}" name="SyncJobID_x000a_(FK,null=manual)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8000000}" name="TRADE_AGREEMENT" displayName="TRADE_AGREEMENT" ref="A2:H13" totalsRowShown="0">
  <autoFilter ref="A2:H13" xr:uid="{00000000-0009-0000-0100-000016000000}"/>
  <tableColumns count="8">
    <tableColumn id="1" xr3:uid="{00000000-0010-0000-0800-000001000000}" name="AgreementCode_x000a_(PK)"/>
    <tableColumn id="2" xr3:uid="{00000000-0010-0000-0800-000002000000}" name="AgreementName"/>
    <tableColumn id="3" xr3:uid="{00000000-0010-0000-0800-000003000000}" name="AgreementType"/>
    <tableColumn id="4" xr3:uid="{00000000-0010-0000-0800-000004000000}" name="PartiesISO"/>
    <tableColumn id="5" xr3:uid="{00000000-0010-0000-0800-000005000000}" name="InForceFrom"/>
    <tableColumn id="6" xr3:uid="{00000000-0010-0000-0800-000006000000}" name="InForceTo_x000a_(null=current)"/>
    <tableColumn id="7" xr3:uid="{00000000-0010-0000-0800-000007000000}" name="AdministeredBy"/>
    <tableColumn id="8" xr3:uid="{00000000-0010-0000-0800-000008000000}" name="Notes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9000000}" name="PREFERENTIAL_RATE" displayName="PREFERENTIAL_RATE" ref="A2:J13" totalsRowShown="0">
  <autoFilter ref="A2:J13" xr:uid="{00000000-0009-0000-0100-00000D000000}"/>
  <tableColumns count="10">
    <tableColumn id="1" xr3:uid="{00000000-0010-0000-0900-000001000000}" name="CommodityCode_x000a_(FK)"/>
    <tableColumn id="2" xr3:uid="{00000000-0010-0000-0900-000002000000}" name="ImportCountryCode_x000a_(FK)"/>
    <tableColumn id="3" xr3:uid="{00000000-0010-0000-0900-000003000000}" name="ExportCountryCode_x000a_(origin)"/>
    <tableColumn id="4" xr3:uid="{00000000-0010-0000-0900-000004000000}" name="AgreementCode_x000a_(FK)"/>
    <tableColumn id="5" xr3:uid="{00000000-0010-0000-0900-000005000000}" name="SubheadingCode"/>
    <tableColumn id="6" xr3:uid="{00000000-0010-0000-0900-000006000000}" name="PrefRate_x000a_(%)"/>
    <tableColumn id="7" xr3:uid="{00000000-0010-0000-0900-000007000000}" name="StagingCategory"/>
    <tableColumn id="8" xr3:uid="{00000000-0010-0000-0900-000008000000}" name="EffectiveFrom"/>
    <tableColumn id="9" xr3:uid="{00000000-0010-0000-0900-000009000000}" name="EffectiveTo_x000a_(null=current)"/>
    <tableColumn id="10" xr3:uid="{00000000-0010-0000-0900-00000A000000}" name="Notes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A000000}" name="RULES_OF_ORIGIN" displayName="RULES_OF_ORIGIN" ref="A3:J14" totalsRowShown="0">
  <autoFilter ref="A3:J14" xr:uid="{00000000-0009-0000-0100-00000F000000}"/>
  <tableColumns count="10">
    <tableColumn id="1" xr3:uid="{00000000-0010-0000-0A00-000001000000}" name="CommodityCode_x000a_(FK)"/>
    <tableColumn id="2" xr3:uid="{00000000-0010-0000-0A00-000002000000}" name="AgreementCode_x000a_(FK)"/>
    <tableColumn id="3" xr3:uid="{00000000-0010-0000-0A00-000003000000}" name="ExportCountryCode_x000a_(FK)"/>
    <tableColumn id="4" xr3:uid="{00000000-0010-0000-0A00-000004000000}" name="OriginCriterion_x000a_(WO/CTH/CTSH/RVC/SP)"/>
    <tableColumn id="5" xr3:uid="{00000000-0010-0000-0A00-000005000000}" name="RVCThresholdPct_x000a_(if RVC)"/>
    <tableColumn id="6" xr3:uid="{00000000-0010-0000-0A00-000006000000}" name="AllowedTolerance_x000a_(%·non-orig material)"/>
    <tableColumn id="7" xr3:uid="{00000000-0010-0000-0A00-000007000000}" name="CumulationRule"/>
    <tableColumn id="8" xr3:uid="{00000000-0010-0000-0A00-000008000000}" name="DirectTransportRequired"/>
    <tableColumn id="9" xr3:uid="{00000000-0010-0000-0A00-000009000000}" name="ProofOfOriginDocCode_x000a_(see ORIGIN_DOCUMENT)"/>
    <tableColumn id="10" xr3:uid="{00000000-0010-0000-0A00-00000A000000}" name="Notes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ORIGIN_DOCUMENT" displayName="ORIGIN_DOCUMENT" ref="A3:I11" totalsRowShown="0">
  <autoFilter ref="A3:I11" xr:uid="{00000000-0009-0000-0100-00000C000000}"/>
  <tableColumns count="9">
    <tableColumn id="1" xr3:uid="{00000000-0010-0000-0B00-000001000000}" name="DocumentCode_x000a_(PK)"/>
    <tableColumn id="2" xr3:uid="{00000000-0010-0000-0B00-000002000000}" name="AgreementCode_x000a_(FK)"/>
    <tableColumn id="3" xr3:uid="{00000000-0010-0000-0B00-000003000000}" name="DocumentName"/>
    <tableColumn id="4" xr3:uid="{00000000-0010-0000-0B00-000004000000}" name="IssuingAuthority"/>
    <tableColumn id="5" xr3:uid="{00000000-0010-0000-0B00-000005000000}" name="ValidityDays_x000a_(null=no expiry)"/>
    <tableColumn id="6" xr3:uid="{00000000-0010-0000-0B00-000006000000}" name="ValueThresholdLocal_x000a_(simplified proof below)"/>
    <tableColumn id="7" xr3:uid="{00000000-0010-0000-0B00-000007000000}" name="ApprovedExporterRequired"/>
    <tableColumn id="8" xr3:uid="{00000000-0010-0000-0B00-000008000000}" name="TemplateURL"/>
    <tableColumn id="9" xr3:uid="{00000000-0010-0000-0B00-000009000000}" name="Notes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REG_MEASURE" displayName="REG_MEASURE" ref="A2:J12" totalsRowShown="0">
  <autoFilter ref="A2:J12" xr:uid="{00000000-0009-0000-0100-00000E000000}"/>
  <tableColumns count="10">
    <tableColumn id="1" xr3:uid="{00000000-0010-0000-0C00-000001000000}" name="CommodityCode_x000a_(FK)"/>
    <tableColumn id="2" xr3:uid="{00000000-0010-0000-0C00-000002000000}" name="CountryCode_x000a_(FK)"/>
    <tableColumn id="3" xr3:uid="{00000000-0010-0000-0C00-000003000000}" name="SubheadingCode"/>
    <tableColumn id="4" xr3:uid="{00000000-0010-0000-0C00-000004000000}" name="MeasureType_x000a_(WCO code)"/>
    <tableColumn id="5" xr3:uid="{00000000-0010-0000-0C00-000005000000}" name="MeasureDescription"/>
    <tableColumn id="6" xr3:uid="{00000000-0010-0000-0C00-000006000000}" name="LicenceRequired"/>
    <tableColumn id="7" xr3:uid="{00000000-0010-0000-0C00-000007000000}" name="LicensingAuthority"/>
    <tableColumn id="8" xr3:uid="{00000000-0010-0000-0C00-000008000000}" name="IsProhibited"/>
    <tableColumn id="9" xr3:uid="{00000000-0010-0000-0C00-000009000000}" name="EffectiveFrom"/>
    <tableColumn id="10" xr3:uid="{00000000-0010-0000-0C00-00000A000000}" name="Notes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D000000}" name="IMPORT_CONDITION" displayName="IMPORT_CONDITION" ref="A3:O13" totalsRowShown="0">
  <autoFilter ref="A3:O13" xr:uid="{00000000-0009-0000-0100-00000A000000}"/>
  <tableColumns count="15">
    <tableColumn id="1" xr3:uid="{00000000-0010-0000-0D00-000001000000}" name="CommodityCode_x000a_(FK)"/>
    <tableColumn id="2" xr3:uid="{00000000-0010-0000-0D00-000002000000}" name="CountryCode_x000a_(FK·import dest)"/>
    <tableColumn id="3" xr3:uid="{00000000-0010-0000-0D00-000003000000}" name="OriginCountryCode_x000a_(null=all origins)"/>
    <tableColumn id="4" xr3:uid="{00000000-0010-0000-0D00-000004000000}" name="NTMCode_x000a_(UNCTAD TRAINS)"/>
    <tableColumn id="5" xr3:uid="{00000000-0010-0000-0D00-000005000000}" name="NTMCategory_x000a_(SPS/TBT/etc)"/>
    <tableColumn id="6" xr3:uid="{00000000-0010-0000-0D00-000006000000}" name="ConditionDescription"/>
    <tableColumn id="7" xr3:uid="{00000000-0010-0000-0D00-000007000000}" name="TreatmentSpecification"/>
    <tableColumn id="8" xr3:uid="{00000000-0010-0000-0D00-000008000000}" name="CertifyingAuthority"/>
    <tableColumn id="9" xr3:uid="{00000000-0010-0000-0D00-000009000000}" name="IssuingLocation_x000a_(ORIGIN/DEST/EITHER)"/>
    <tableColumn id="10" xr3:uid="{00000000-0010-0000-0D00-00000A000000}" name="TimingRequirement"/>
    <tableColumn id="11" xr3:uid="{00000000-0010-0000-0D00-00000B000000}" name="ValidityDays_x000a_(null=no expiry)"/>
    <tableColumn id="12" xr3:uid="{00000000-0010-0000-0D00-00000C000000}" name="IsMandatory"/>
    <tableColumn id="13" xr3:uid="{00000000-0010-0000-0D00-00000D000000}" name="DocumentCode"/>
    <tableColumn id="14" xr3:uid="{00000000-0010-0000-0D00-00000E000000}" name="EffectiveFrom"/>
    <tableColumn id="15" xr3:uid="{00000000-0010-0000-0D00-00000F000000}" name="Notes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E000000}" name="EXPORT_MEASURE" displayName="EXPORT_MEASURE" ref="A3:M10" totalsRowShown="0">
  <autoFilter ref="A3:M10" xr:uid="{00000000-0009-0000-0100-000006000000}"/>
  <tableColumns count="13">
    <tableColumn id="1" xr3:uid="{00000000-0010-0000-0E00-000001000000}" name="CommodityCode_x000a_(FK)"/>
    <tableColumn id="2" xr3:uid="{00000000-0010-0000-0E00-000002000000}" name="ExportCountryCode_x000a_(FK·origin)"/>
    <tableColumn id="3" xr3:uid="{00000000-0010-0000-0E00-000003000000}" name="SubheadingCode"/>
    <tableColumn id="4" xr3:uid="{00000000-0010-0000-0E00-000004000000}" name="MeasureType"/>
    <tableColumn id="5" xr3:uid="{00000000-0010-0000-0E00-000005000000}" name="ExportDutyRate_x000a_(%)"/>
    <tableColumn id="6" xr3:uid="{00000000-0010-0000-0E00-000006000000}" name="ExportDutyBasis"/>
    <tableColumn id="7" xr3:uid="{00000000-0010-0000-0E00-000007000000}" name="LicenceRequired"/>
    <tableColumn id="8" xr3:uid="{00000000-0010-0000-0E00-000008000000}" name="LicensingAuthority"/>
    <tableColumn id="9" xr3:uid="{00000000-0010-0000-0E00-000009000000}" name="QuotaVolumeKG_x000a_(if applicable)"/>
    <tableColumn id="10" xr3:uid="{00000000-0010-0000-0E00-00000A000000}" name="ExportVATRefundEligible"/>
    <tableColumn id="11" xr3:uid="{00000000-0010-0000-0E00-00000B000000}" name="EffectiveFrom"/>
    <tableColumn id="12" xr3:uid="{00000000-0010-0000-0E00-00000C000000}" name="LegalBasis"/>
    <tableColumn id="13" xr3:uid="{00000000-0010-0000-0E00-00000D000000}" name="Notes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SANCTIONS_MEASURE" displayName="SANCTIONS_MEASURE" ref="A3:M13" totalsRowShown="0">
  <autoFilter ref="A3:M13" xr:uid="{00000000-0009-0000-0100-000010000000}"/>
  <tableColumns count="13">
    <tableColumn id="1" xr3:uid="{00000000-0010-0000-0F00-000001000000}" name="SanctionID_x000a_(PK)"/>
    <tableColumn id="2" xr3:uid="{00000000-0010-0000-0F00-000002000000}" name="SanctionsType"/>
    <tableColumn id="3" xr3:uid="{00000000-0010-0000-0F00-000003000000}" name="ImportCountryCode_x000a_(FK,null=any)"/>
    <tableColumn id="4" xr3:uid="{00000000-0010-0000-0F00-000004000000}" name="ExportCountryCode_x000a_(FK,null=any)"/>
    <tableColumn id="5" xr3:uid="{00000000-0010-0000-0F00-000005000000}" name="CommodityCode_x000a_(FK,null=any commodity)"/>
    <tableColumn id="6" xr3:uid="{00000000-0010-0000-0F00-000006000000}" name="SubheadingCode_x000a_(null=any)"/>
    <tableColumn id="7" xr3:uid="{00000000-0010-0000-0F00-000007000000}" name="AdministeringBody"/>
    <tableColumn id="8" xr3:uid="{00000000-0010-0000-0F00-000008000000}" name="SanctionsRegime"/>
    <tableColumn id="9" xr3:uid="{00000000-0010-0000-0F00-000009000000}" name="Description"/>
    <tableColumn id="10" xr3:uid="{00000000-0010-0000-0F00-00000A000000}" name="IsActive"/>
    <tableColumn id="11" xr3:uid="{00000000-0010-0000-0F00-00000B000000}" name="EffectiveFrom"/>
    <tableColumn id="12" xr3:uid="{00000000-0010-0000-0F00-00000C000000}" name="EffectiveTo_x000a_(null=current)"/>
    <tableColumn id="13" xr3:uid="{00000000-0010-0000-0F00-00000D000000}" name="LegalBasis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0000000}" name="VAT_RATE" displayName="VAT_RATE" ref="A3:O26" totalsRowShown="0">
  <autoFilter ref="A3:O26" xr:uid="{00000000-0009-0000-0100-000017000000}"/>
  <tableColumns count="15">
    <tableColumn id="1" xr3:uid="{00000000-0010-0000-1000-000001000000}" name="CommodityCode_x000a_(FK)"/>
    <tableColumn id="2" xr3:uid="{00000000-0010-0000-1000-000002000000}" name="CountryCode_x000a_(FK)"/>
    <tableColumn id="3" xr3:uid="{00000000-0010-0000-1000-000003000000}" name="SubheadingCode"/>
    <tableColumn id="4" xr3:uid="{00000000-0010-0000-1000-000004000000}" name="TaxType"/>
    <tableColumn id="5" xr3:uid="{00000000-0010-0000-1000-000005000000}" name="TaxCategory_x000a_(STANDARD/REDUCED/ZERO/EXEMPT)"/>
    <tableColumn id="6" xr3:uid="{00000000-0010-0000-1000-000006000000}" name="Rate_x000a_(%)"/>
    <tableColumn id="7" xr3:uid="{00000000-0010-0000-1000-000007000000}" name="VATBasis"/>
    <tableColumn id="8" xr3:uid="{00000000-0010-0000-1000-000008000000}" name="PostponedAccounting_x000a_(UK PVA etc)"/>
    <tableColumn id="9" xr3:uid="{00000000-0010-0000-1000-000009000000}" name="ReliefAvailable"/>
    <tableColumn id="10" xr3:uid="{00000000-0010-0000-1000-00000A000000}" name="ReliefSchemeRef"/>
    <tableColumn id="11" xr3:uid="{00000000-0010-0000-1000-00000B000000}" name="StateOrProvince_x000a_(BR ICMS)"/>
    <tableColumn id="12" xr3:uid="{00000000-0010-0000-1000-00000C000000}" name="EffectiveFrom"/>
    <tableColumn id="13" xr3:uid="{00000000-0010-0000-1000-00000D000000}" name="EffectiveTo_x000a_(null=current)"/>
    <tableColumn id="14" xr3:uid="{00000000-0010-0000-1000-00000E000000}" name="LegalBasis"/>
    <tableColumn id="15" xr3:uid="{00000000-0010-0000-1000-00000F000000}" name="Notes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1000000}" name="EXCISE" displayName="EXCISE" ref="A3:N10" totalsRowShown="0">
  <autoFilter ref="A3:N10" xr:uid="{00000000-0009-0000-0100-000005000000}"/>
  <tableColumns count="14">
    <tableColumn id="1" xr3:uid="{00000000-0010-0000-1100-000001000000}" name="CommodityCode_x000a_(FK)"/>
    <tableColumn id="2" xr3:uid="{00000000-0010-0000-1100-000002000000}" name="CountryCode_x000a_(FK)"/>
    <tableColumn id="3" xr3:uid="{00000000-0010-0000-1100-000003000000}" name="SubheadingCode"/>
    <tableColumn id="4" xr3:uid="{00000000-0010-0000-1100-000004000000}" name="ExciseBasisType"/>
    <tableColumn id="5" xr3:uid="{00000000-0010-0000-1100-000005000000}" name="ExciseRate_x000a_(%)"/>
    <tableColumn id="6" xr3:uid="{00000000-0010-0000-1100-000006000000}" name="SpecificDutyAmt"/>
    <tableColumn id="7" xr3:uid="{00000000-0010-0000-1100-000007000000}" name="SpecificDutyUOM"/>
    <tableColumn id="8" xr3:uid="{00000000-0010-0000-1100-000008000000}" name="ExciseExpression"/>
    <tableColumn id="9" xr3:uid="{00000000-0010-0000-1100-000009000000}" name="SuspensionAvailable"/>
    <tableColumn id="10" xr3:uid="{00000000-0010-0000-1100-00000A000000}" name="DrawbackAvailable"/>
    <tableColumn id="11" xr3:uid="{00000000-0010-0000-1100-00000B000000}" name="DomesticRateApplies"/>
    <tableColumn id="12" xr3:uid="{00000000-0010-0000-1100-00000C000000}" name="EffectiveFrom"/>
    <tableColumn id="13" xr3:uid="{00000000-0010-0000-1100-00000D000000}" name="LegalBasis"/>
    <tableColumn id="14" xr3:uid="{00000000-0010-0000-1100-00000E000000}" name="Notes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12000000}" name="AD_MEASURE" displayName="AD_MEASURE" ref="A3:S12" totalsRowShown="0">
  <autoFilter ref="A3:S12" xr:uid="{00000000-0009-0000-0100-000001000000}"/>
  <tableColumns count="19">
    <tableColumn id="1" xr3:uid="{00000000-0010-0000-1200-000001000000}" name="CommodityCode_x000a_(FK)"/>
    <tableColumn id="2" xr3:uid="{00000000-0010-0000-1200-000002000000}" name="ImportCountryCode_x000a_(FK·dest)"/>
    <tableColumn id="3" xr3:uid="{00000000-0010-0000-1200-000003000000}" name="ExportingCountryCode_x000a_(origin targeted)"/>
    <tableColumn id="4" xr3:uid="{00000000-0010-0000-1200-000004000000}" name="ExporterName_x000a_(null=country residual)"/>
    <tableColumn id="5" xr3:uid="{00000000-0010-0000-1200-000005000000}" name="MeasureType"/>
    <tableColumn id="6" xr3:uid="{00000000-0010-0000-1200-000006000000}" name="ADRateType"/>
    <tableColumn id="7" xr3:uid="{00000000-0010-0000-1200-000007000000}" name="ADRate_x000a_(%)"/>
    <tableColumn id="8" xr3:uid="{00000000-0010-0000-1200-000008000000}" name="SpecificAmt"/>
    <tableColumn id="9" xr3:uid="{00000000-0010-0000-1200-000009000000}" name="SpecificUOM"/>
    <tableColumn id="10" xr3:uid="{00000000-0010-0000-1200-00000A000000}" name="MinImportPrice"/>
    <tableColumn id="11" xr3:uid="{00000000-0010-0000-1200-00000B000000}" name="MIPCurrency"/>
    <tableColumn id="12" xr3:uid="{00000000-0010-0000-1200-00000C000000}" name="ADStatus"/>
    <tableColumn id="13" xr3:uid="{00000000-0010-0000-1200-00000D000000}" name="ProvisionalFrom"/>
    <tableColumn id="14" xr3:uid="{00000000-0010-0000-1200-00000E000000}" name="DefinitiveFrom"/>
    <tableColumn id="15" xr3:uid="{00000000-0010-0000-1200-00000F000000}" name="SunsetReviewDate"/>
    <tableColumn id="16" xr3:uid="{00000000-0010-0000-1200-000010000000}" name="InvestigatingBody"/>
    <tableColumn id="17" xr3:uid="{00000000-0010-0000-1200-000011000000}" name="UnderTaking"/>
    <tableColumn id="18" xr3:uid="{00000000-0010-0000-1200-000012000000}" name="ADCaseRef"/>
    <tableColumn id="19" xr3:uid="{00000000-0010-0000-1200-000013000000}" name="Notes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13000000}" name="DUTY_RELIEF" displayName="DUTY_RELIEF" ref="A3:L10" totalsRowShown="0">
  <autoFilter ref="A3:L10" xr:uid="{00000000-0009-0000-0100-000004000000}"/>
  <tableColumns count="12">
    <tableColumn id="1" xr3:uid="{00000000-0010-0000-1300-000001000000}" name="ReliefID_x000a_(PK)"/>
    <tableColumn id="2" xr3:uid="{00000000-0010-0000-1300-000002000000}" name="CommodityCode_x000a_(FK,null=any)"/>
    <tableColumn id="3" xr3:uid="{00000000-0010-0000-1300-000003000000}" name="CountryCode_x000a_(FK·import)"/>
    <tableColumn id="4" xr3:uid="{00000000-0010-0000-1300-000004000000}" name="ReliefType"/>
    <tableColumn id="5" xr3:uid="{00000000-0010-0000-1300-000005000000}" name="DutyImpact"/>
    <tableColumn id="6" xr3:uid="{00000000-0010-0000-1300-000006000000}" name="EligibilityCriteria"/>
    <tableColumn id="7" xr3:uid="{00000000-0010-0000-1300-000007000000}" name="ApplicationProcedure"/>
    <tableColumn id="8" xr3:uid="{00000000-0010-0000-1300-000008000000}" name="AuthorisationRequired"/>
    <tableColumn id="9" xr3:uid="{00000000-0010-0000-1300-000009000000}" name="MaxDurationMonths_x000a_(null=indefinite)"/>
    <tableColumn id="10" xr3:uid="{00000000-0010-0000-1300-00000A000000}" name="GuaranteeRequired"/>
    <tableColumn id="11" xr3:uid="{00000000-0010-0000-1300-00000B000000}" name="LegalBasis"/>
    <tableColumn id="12" xr3:uid="{00000000-0010-0000-1300-00000C000000}" name="Notes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RIFF_SOURCE" displayName="TARIFF_SOURCE" ref="A3:N18" totalsRowShown="0">
  <autoFilter ref="A3:N18" xr:uid="{00000000-0009-0000-0100-000015000000}"/>
  <tableColumns count="14">
    <tableColumn id="1" xr3:uid="{00000000-0010-0000-1400-000001000000}" name="SourceID_x000a_(PK)"/>
    <tableColumn id="2" xr3:uid="{00000000-0010-0000-1400-000002000000}" name="CountryCode_x000a_(FK,null=global)"/>
    <tableColumn id="3" xr3:uid="{00000000-0010-0000-1400-000003000000}" name="SourceName"/>
    <tableColumn id="4" xr3:uid="{00000000-0010-0000-1400-000004000000}" name="SourceURL"/>
    <tableColumn id="5" xr3:uid="{00000000-0010-0000-1400-000005000000}" name="SourceType"/>
    <tableColumn id="6" xr3:uid="{00000000-0010-0000-1400-000006000000}" name="DataFormat"/>
    <tableColumn id="7" xr3:uid="{00000000-0010-0000-1400-000007000000}" name="PollFrequencyHours"/>
    <tableColumn id="8" xr3:uid="{00000000-0010-0000-1400-000008000000}" name="AuthMethod"/>
    <tableColumn id="9" xr3:uid="{00000000-0010-0000-1400-000009000000}" name="AuthCredentialRef"/>
    <tableColumn id="10" xr3:uid="{00000000-0010-0000-1400-00000A000000}" name="AutoApplyThresholdPct"/>
    <tableColumn id="11" xr3:uid="{00000000-0010-0000-1400-00000B000000}" name="LastSnapshotHash"/>
    <tableColumn id="12" xr3:uid="{00000000-0010-0000-1400-00000C000000}" name="LastPolledAt"/>
    <tableColumn id="13" xr3:uid="{00000000-0010-0000-1400-00000D000000}" name="IsActive"/>
    <tableColumn id="14" xr3:uid="{00000000-0010-0000-1400-00000E000000}" name="Notes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5000000}" name="SOURCE_SYNC_JOB" displayName="SOURCE_SYNC_JOB" ref="A3:L11" totalsRowShown="0">
  <autoFilter ref="A3:L11" xr:uid="{00000000-0009-0000-0100-000012000000}"/>
  <tableColumns count="12">
    <tableColumn id="1" xr3:uid="{00000000-0010-0000-1500-000001000000}" name="JobID_x000a_(PK·auto)"/>
    <tableColumn id="2" xr3:uid="{00000000-0010-0000-1500-000002000000}" name="SourceID_x000a_(FK)"/>
    <tableColumn id="3" xr3:uid="{00000000-0010-0000-1500-000003000000}" name="JobStartedAt"/>
    <tableColumn id="4" xr3:uid="{00000000-0010-0000-1500-000004000000}" name="JobCompletedAt"/>
    <tableColumn id="5" xr3:uid="{00000000-0010-0000-1500-000005000000}" name="DurationSeconds"/>
    <tableColumn id="6" xr3:uid="{00000000-0010-0000-1500-000006000000}" name="JobStatus"/>
    <tableColumn id="7" xr3:uid="{00000000-0010-0000-1500-000007000000}" name="HTTPStatusCode"/>
    <tableColumn id="8" xr3:uid="{00000000-0010-0000-1500-000008000000}" name="RecordsChecked"/>
    <tableColumn id="9" xr3:uid="{00000000-0010-0000-1500-000009000000}" name="RecordsChanged"/>
    <tableColumn id="10" xr3:uid="{00000000-0010-0000-1500-00000A000000}" name="RecordsErrored"/>
    <tableColumn id="11" xr3:uid="{00000000-0010-0000-1500-00000B000000}" name="TriggerType"/>
    <tableColumn id="12" xr3:uid="{00000000-0010-0000-1500-00000C000000}" name="ErrorMessage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6000000}" name="SOURCE_SYNC_CHANGE" displayName="SOURCE_SYNC_CHANGE" ref="A3:N8" totalsRowShown="0">
  <autoFilter ref="A3:N8" xr:uid="{00000000-0009-0000-0100-000011000000}"/>
  <tableColumns count="14">
    <tableColumn id="1" xr3:uid="{00000000-0010-0000-1600-000001000000}" name="ChangeID_x000a_(PK·auto)"/>
    <tableColumn id="2" xr3:uid="{00000000-0010-0000-1600-000002000000}" name="JobID_x000a_(FK)"/>
    <tableColumn id="3" xr3:uid="{00000000-0010-0000-1600-000003000000}" name="CommodityCode_x000a_(FK)"/>
    <tableColumn id="4" xr3:uid="{00000000-0010-0000-1600-000004000000}" name="CountryCode_x000a_(FK)"/>
    <tableColumn id="5" xr3:uid="{00000000-0010-0000-1600-000005000000}" name="SubheadingCode"/>
    <tableColumn id="6" xr3:uid="{00000000-0010-0000-1600-000006000000}" name="FieldChanged"/>
    <tableColumn id="7" xr3:uid="{00000000-0010-0000-1600-000007000000}" name="OldValue"/>
    <tableColumn id="8" xr3:uid="{00000000-0010-0000-1600-000008000000}" name="NewValue"/>
    <tableColumn id="9" xr3:uid="{00000000-0010-0000-1600-000009000000}" name="ChangeType"/>
    <tableColumn id="10" xr3:uid="{00000000-0010-0000-1600-00000A000000}" name="ChangeStatus"/>
    <tableColumn id="11" xr3:uid="{00000000-0010-0000-1600-00000B000000}" name="ChangeDetectedAt"/>
    <tableColumn id="12" xr3:uid="{00000000-0010-0000-1600-00000C000000}" name="AppliedAt"/>
    <tableColumn id="13" xr3:uid="{00000000-0010-0000-1600-00000D000000}" name="SourceURL"/>
    <tableColumn id="14" xr3:uid="{00000000-0010-0000-1600-00000E000000}" name="Review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5A"/>
  </sheetPr>
  <dimension ref="B2:H33"/>
  <sheetViews>
    <sheetView showGridLines="0" zoomScaleNormal="100" workbookViewId="0">
      <selection activeCell="A8" sqref="A8:XFD8"/>
    </sheetView>
  </sheetViews>
  <sheetFormatPr baseColWidth="10" defaultColWidth="8.6640625" defaultRowHeight="15" x14ac:dyDescent="0.2"/>
  <cols>
    <col min="1" max="1" width="2" customWidth="1"/>
    <col min="2" max="2" width="24" customWidth="1"/>
    <col min="3" max="3" width="20" customWidth="1"/>
    <col min="4" max="4" width="60" customWidth="1"/>
    <col min="5" max="5" width="20" customWidth="1"/>
    <col min="6" max="6" width="18" customWidth="1"/>
    <col min="7" max="7" width="22" customWidth="1"/>
    <col min="8" max="8" width="18" customWidth="1"/>
  </cols>
  <sheetData>
    <row r="2" spans="2:8" ht="37.5" customHeight="1" x14ac:dyDescent="0.2">
      <c r="B2" s="64" t="s">
        <v>0</v>
      </c>
      <c r="C2" s="64"/>
      <c r="D2" s="64"/>
      <c r="E2" s="64"/>
      <c r="F2" s="64"/>
      <c r="G2" s="64"/>
      <c r="H2" s="64"/>
    </row>
    <row r="3" spans="2:8" ht="21.75" customHeight="1" x14ac:dyDescent="0.2">
      <c r="B3" s="65" t="s">
        <v>1</v>
      </c>
      <c r="C3" s="65"/>
      <c r="D3" s="65"/>
      <c r="E3" s="65"/>
      <c r="F3" s="65"/>
      <c r="G3" s="65"/>
      <c r="H3" s="65"/>
    </row>
    <row r="5" spans="2:8" ht="21.75" customHeight="1" x14ac:dyDescent="0.2">
      <c r="B5" s="63" t="s">
        <v>2</v>
      </c>
      <c r="C5" s="63"/>
      <c r="D5" s="63"/>
      <c r="E5" s="63"/>
      <c r="F5" s="63"/>
      <c r="G5" s="63"/>
      <c r="H5" s="63"/>
    </row>
    <row r="6" spans="2:8" ht="48" customHeight="1" x14ac:dyDescent="0.2">
      <c r="B6" s="1" t="s">
        <v>3</v>
      </c>
      <c r="C6" s="62" t="s">
        <v>4</v>
      </c>
      <c r="D6" s="62"/>
      <c r="E6" s="62"/>
      <c r="F6" s="62"/>
      <c r="G6" s="62"/>
      <c r="H6" s="62"/>
    </row>
    <row r="7" spans="2:8" ht="54" customHeight="1" x14ac:dyDescent="0.2">
      <c r="B7" s="1" t="s">
        <v>5</v>
      </c>
      <c r="C7" s="62" t="s">
        <v>6</v>
      </c>
      <c r="D7" s="62"/>
      <c r="E7" s="62"/>
      <c r="F7" s="62"/>
      <c r="G7" s="62"/>
      <c r="H7" s="62"/>
    </row>
    <row r="9" spans="2:8" ht="21.75" customHeight="1" x14ac:dyDescent="0.2">
      <c r="B9" s="63" t="s">
        <v>7</v>
      </c>
      <c r="C9" s="63"/>
      <c r="D9" s="63"/>
      <c r="E9" s="63"/>
      <c r="F9" s="63"/>
      <c r="G9" s="63"/>
      <c r="H9" s="63"/>
    </row>
    <row r="10" spans="2:8" ht="54" customHeight="1" x14ac:dyDescent="0.2">
      <c r="B10" s="2" t="s">
        <v>8</v>
      </c>
      <c r="C10" s="62" t="s">
        <v>9</v>
      </c>
      <c r="D10" s="62"/>
      <c r="E10" s="62"/>
      <c r="F10" s="62"/>
      <c r="G10" s="62"/>
      <c r="H10" s="62"/>
    </row>
    <row r="11" spans="2:8" ht="36" customHeight="1" x14ac:dyDescent="0.2">
      <c r="B11" s="2" t="s">
        <v>10</v>
      </c>
      <c r="C11" s="62" t="s">
        <v>11</v>
      </c>
      <c r="D11" s="62"/>
      <c r="E11" s="62"/>
      <c r="F11" s="62"/>
      <c r="G11" s="62"/>
      <c r="H11" s="62"/>
    </row>
    <row r="12" spans="2:8" ht="42" customHeight="1" x14ac:dyDescent="0.2">
      <c r="B12" s="3" t="s">
        <v>12</v>
      </c>
      <c r="C12" s="62" t="s">
        <v>13</v>
      </c>
      <c r="D12" s="62"/>
      <c r="E12" s="62"/>
      <c r="F12" s="62"/>
      <c r="G12" s="62"/>
      <c r="H12" s="62"/>
    </row>
    <row r="13" spans="2:8" ht="36" customHeight="1" x14ac:dyDescent="0.2">
      <c r="B13" s="3" t="s">
        <v>14</v>
      </c>
      <c r="C13" s="62" t="s">
        <v>15</v>
      </c>
      <c r="D13" s="62"/>
      <c r="E13" s="62"/>
      <c r="F13" s="62"/>
      <c r="G13" s="62"/>
      <c r="H13" s="62"/>
    </row>
    <row r="14" spans="2:8" ht="42" customHeight="1" x14ac:dyDescent="0.2">
      <c r="B14" s="3" t="s">
        <v>16</v>
      </c>
      <c r="C14" s="62" t="s">
        <v>17</v>
      </c>
      <c r="D14" s="62"/>
      <c r="E14" s="62"/>
      <c r="F14" s="62"/>
      <c r="G14" s="62"/>
      <c r="H14" s="62"/>
    </row>
    <row r="15" spans="2:8" ht="54" customHeight="1" x14ac:dyDescent="0.2">
      <c r="B15" s="3" t="s">
        <v>18</v>
      </c>
      <c r="C15" s="62" t="s">
        <v>19</v>
      </c>
      <c r="D15" s="62"/>
      <c r="E15" s="62"/>
      <c r="F15" s="62"/>
      <c r="G15" s="62"/>
      <c r="H15" s="62"/>
    </row>
    <row r="16" spans="2:8" ht="36" customHeight="1" x14ac:dyDescent="0.2">
      <c r="B16" s="2" t="s">
        <v>20</v>
      </c>
      <c r="C16" s="62" t="s">
        <v>21</v>
      </c>
      <c r="D16" s="62"/>
      <c r="E16" s="62"/>
      <c r="F16" s="62"/>
      <c r="G16" s="62"/>
      <c r="H16" s="62"/>
    </row>
    <row r="18" spans="2:8" ht="21.75" customHeight="1" x14ac:dyDescent="0.2">
      <c r="B18" s="63" t="s">
        <v>22</v>
      </c>
      <c r="C18" s="63"/>
      <c r="D18" s="63"/>
      <c r="E18" s="63"/>
      <c r="F18" s="63"/>
      <c r="G18" s="63"/>
      <c r="H18" s="63"/>
    </row>
    <row r="19" spans="2:8" ht="72" customHeight="1" x14ac:dyDescent="0.2">
      <c r="B19" s="4" t="s">
        <v>23</v>
      </c>
      <c r="C19" s="62" t="s">
        <v>24</v>
      </c>
      <c r="D19" s="62"/>
      <c r="E19" s="62"/>
      <c r="F19" s="62"/>
      <c r="G19" s="62"/>
      <c r="H19" s="62"/>
    </row>
    <row r="20" spans="2:8" ht="42" customHeight="1" x14ac:dyDescent="0.2">
      <c r="B20" s="4" t="s">
        <v>25</v>
      </c>
      <c r="C20" s="62" t="s">
        <v>26</v>
      </c>
      <c r="D20" s="62"/>
      <c r="E20" s="62"/>
      <c r="F20" s="62"/>
      <c r="G20" s="62"/>
      <c r="H20" s="62"/>
    </row>
    <row r="21" spans="2:8" ht="60" customHeight="1" x14ac:dyDescent="0.2">
      <c r="B21" s="4" t="s">
        <v>27</v>
      </c>
      <c r="C21" s="62" t="s">
        <v>28</v>
      </c>
      <c r="D21" s="62"/>
      <c r="E21" s="62"/>
      <c r="F21" s="62"/>
      <c r="G21" s="62"/>
      <c r="H21" s="62"/>
    </row>
    <row r="22" spans="2:8" ht="42" customHeight="1" x14ac:dyDescent="0.2">
      <c r="B22" s="4" t="s">
        <v>29</v>
      </c>
      <c r="C22" s="62" t="s">
        <v>30</v>
      </c>
      <c r="D22" s="62"/>
      <c r="E22" s="62"/>
      <c r="F22" s="62"/>
      <c r="G22" s="62"/>
      <c r="H22" s="62"/>
    </row>
    <row r="24" spans="2:8" ht="21.75" customHeight="1" x14ac:dyDescent="0.2">
      <c r="B24" s="63" t="s">
        <v>31</v>
      </c>
      <c r="C24" s="63"/>
      <c r="D24" s="63"/>
      <c r="E24" s="63"/>
      <c r="F24" s="63"/>
      <c r="G24" s="63"/>
      <c r="H24" s="63"/>
    </row>
    <row r="25" spans="2:8" ht="42" customHeight="1" x14ac:dyDescent="0.2">
      <c r="B25" s="5" t="s">
        <v>32</v>
      </c>
      <c r="C25" s="62" t="s">
        <v>33</v>
      </c>
      <c r="D25" s="62"/>
      <c r="E25" s="62"/>
      <c r="F25" s="62"/>
      <c r="G25" s="62"/>
      <c r="H25" s="62"/>
    </row>
    <row r="26" spans="2:8" ht="42" customHeight="1" x14ac:dyDescent="0.2">
      <c r="B26" s="5" t="s">
        <v>34</v>
      </c>
      <c r="C26" s="62" t="s">
        <v>35</v>
      </c>
      <c r="D26" s="62"/>
      <c r="E26" s="62"/>
      <c r="F26" s="62"/>
      <c r="G26" s="62"/>
      <c r="H26" s="62"/>
    </row>
    <row r="27" spans="2:8" ht="36" customHeight="1" x14ac:dyDescent="0.2">
      <c r="B27" s="5" t="s">
        <v>36</v>
      </c>
      <c r="C27" s="62" t="s">
        <v>37</v>
      </c>
      <c r="D27" s="62"/>
      <c r="E27" s="62"/>
      <c r="F27" s="62"/>
      <c r="G27" s="62"/>
      <c r="H27" s="62"/>
    </row>
    <row r="28" spans="2:8" ht="42" customHeight="1" x14ac:dyDescent="0.2">
      <c r="B28" s="5" t="s">
        <v>38</v>
      </c>
      <c r="C28" s="62" t="s">
        <v>39</v>
      </c>
      <c r="D28" s="62"/>
      <c r="E28" s="62"/>
      <c r="F28" s="62"/>
      <c r="G28" s="62"/>
      <c r="H28" s="62"/>
    </row>
    <row r="29" spans="2:8" ht="36" customHeight="1" x14ac:dyDescent="0.2">
      <c r="B29" s="5" t="s">
        <v>40</v>
      </c>
      <c r="C29" s="62" t="s">
        <v>41</v>
      </c>
      <c r="D29" s="62"/>
      <c r="E29" s="62"/>
      <c r="F29" s="62"/>
      <c r="G29" s="62"/>
      <c r="H29" s="62"/>
    </row>
    <row r="30" spans="2:8" ht="42" customHeight="1" x14ac:dyDescent="0.2">
      <c r="B30" s="2" t="s">
        <v>42</v>
      </c>
      <c r="C30" s="62" t="s">
        <v>43</v>
      </c>
      <c r="D30" s="62"/>
      <c r="E30" s="62"/>
      <c r="F30" s="62"/>
      <c r="G30" s="62"/>
      <c r="H30" s="62"/>
    </row>
    <row r="31" spans="2:8" ht="42" customHeight="1" x14ac:dyDescent="0.2">
      <c r="B31" s="6" t="s">
        <v>44</v>
      </c>
      <c r="C31" s="62" t="s">
        <v>45</v>
      </c>
      <c r="D31" s="62"/>
      <c r="E31" s="62"/>
      <c r="F31" s="62"/>
      <c r="G31" s="62"/>
      <c r="H31" s="62"/>
    </row>
    <row r="32" spans="2:8" ht="36" customHeight="1" x14ac:dyDescent="0.2">
      <c r="B32" s="6" t="s">
        <v>46</v>
      </c>
      <c r="C32" s="62" t="s">
        <v>47</v>
      </c>
      <c r="D32" s="62"/>
      <c r="E32" s="62"/>
      <c r="F32" s="62"/>
      <c r="G32" s="62"/>
      <c r="H32" s="62"/>
    </row>
    <row r="33" spans="2:8" ht="36" customHeight="1" x14ac:dyDescent="0.2">
      <c r="B33" s="7" t="s">
        <v>48</v>
      </c>
      <c r="C33" s="62" t="s">
        <v>49</v>
      </c>
      <c r="D33" s="62"/>
      <c r="E33" s="62"/>
      <c r="F33" s="62"/>
      <c r="G33" s="62"/>
      <c r="H33" s="62"/>
    </row>
  </sheetData>
  <mergeCells count="28">
    <mergeCell ref="B9:H9"/>
    <mergeCell ref="C10:H10"/>
    <mergeCell ref="C11:H11"/>
    <mergeCell ref="C12:H12"/>
    <mergeCell ref="B2:H2"/>
    <mergeCell ref="B3:H3"/>
    <mergeCell ref="B5:H5"/>
    <mergeCell ref="C6:H6"/>
    <mergeCell ref="C7:H7"/>
    <mergeCell ref="C13:H13"/>
    <mergeCell ref="C14:H14"/>
    <mergeCell ref="C15:H15"/>
    <mergeCell ref="C16:H16"/>
    <mergeCell ref="B18:H18"/>
    <mergeCell ref="C19:H19"/>
    <mergeCell ref="C20:H20"/>
    <mergeCell ref="C21:H21"/>
    <mergeCell ref="C22:H22"/>
    <mergeCell ref="B24:H24"/>
    <mergeCell ref="C30:H30"/>
    <mergeCell ref="C31:H31"/>
    <mergeCell ref="C32:H32"/>
    <mergeCell ref="C33:H33"/>
    <mergeCell ref="C25:H25"/>
    <mergeCell ref="C26:H26"/>
    <mergeCell ref="C27:H27"/>
    <mergeCell ref="C28:H28"/>
    <mergeCell ref="C29:H2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2A5A"/>
  </sheetPr>
  <dimension ref="A2:E32"/>
  <sheetViews>
    <sheetView showGridLines="0" topLeftCell="A3" zoomScaleNormal="100" workbookViewId="0">
      <selection activeCell="A32" sqref="A32"/>
    </sheetView>
  </sheetViews>
  <sheetFormatPr baseColWidth="10" defaultColWidth="8.6640625" defaultRowHeight="15" x14ac:dyDescent="0.2"/>
  <cols>
    <col min="1" max="1" width="28" customWidth="1"/>
    <col min="2" max="2" width="18" customWidth="1"/>
    <col min="3" max="3" width="60" customWidth="1"/>
    <col min="4" max="5" width="20" customWidth="1"/>
  </cols>
  <sheetData>
    <row r="2" spans="1:5" ht="36" customHeight="1" x14ac:dyDescent="0.2">
      <c r="B2" s="66" t="s">
        <v>50</v>
      </c>
      <c r="C2" s="66"/>
      <c r="D2" s="66"/>
      <c r="E2" s="66"/>
    </row>
    <row r="3" spans="1:5" ht="21.75" customHeight="1" x14ac:dyDescent="0.2">
      <c r="B3" s="65" t="s">
        <v>51</v>
      </c>
      <c r="C3" s="65"/>
      <c r="D3" s="65"/>
      <c r="E3" s="65"/>
    </row>
    <row r="5" spans="1:5" ht="21.75" customHeight="1" x14ac:dyDescent="0.2">
      <c r="A5" s="63" t="s">
        <v>52</v>
      </c>
      <c r="B5" s="63"/>
      <c r="C5" s="63"/>
      <c r="D5" s="63"/>
    </row>
    <row r="6" spans="1:5" ht="27.75" customHeight="1" x14ac:dyDescent="0.2">
      <c r="A6" s="1" t="s">
        <v>53</v>
      </c>
      <c r="B6" s="1" t="s">
        <v>54</v>
      </c>
      <c r="C6" s="1" t="s">
        <v>55</v>
      </c>
      <c r="D6" s="1" t="s">
        <v>56</v>
      </c>
    </row>
    <row r="7" spans="1:5" ht="21.75" customHeight="1" x14ac:dyDescent="0.2">
      <c r="A7" s="8" t="s">
        <v>57</v>
      </c>
      <c r="B7" s="8" t="s">
        <v>58</v>
      </c>
      <c r="C7" s="8" t="s">
        <v>59</v>
      </c>
      <c r="D7" s="8" t="s">
        <v>60</v>
      </c>
    </row>
    <row r="8" spans="1:5" ht="21.75" customHeight="1" x14ac:dyDescent="0.2">
      <c r="A8" s="9" t="s">
        <v>61</v>
      </c>
      <c r="B8" s="9" t="s">
        <v>58</v>
      </c>
      <c r="C8" s="9" t="s">
        <v>62</v>
      </c>
      <c r="D8" s="9" t="s">
        <v>60</v>
      </c>
    </row>
    <row r="9" spans="1:5" ht="21.75" customHeight="1" x14ac:dyDescent="0.2">
      <c r="A9" s="8" t="s">
        <v>63</v>
      </c>
      <c r="B9" s="8" t="s">
        <v>64</v>
      </c>
      <c r="C9" s="8" t="s">
        <v>65</v>
      </c>
      <c r="D9" s="8" t="s">
        <v>66</v>
      </c>
    </row>
    <row r="10" spans="1:5" ht="21.75" customHeight="1" x14ac:dyDescent="0.2">
      <c r="A10" s="9" t="s">
        <v>67</v>
      </c>
      <c r="B10" s="9" t="s">
        <v>64</v>
      </c>
      <c r="C10" s="9" t="s">
        <v>68</v>
      </c>
      <c r="D10" s="9" t="s">
        <v>66</v>
      </c>
    </row>
    <row r="11" spans="1:5" ht="21.75" customHeight="1" x14ac:dyDescent="0.2">
      <c r="A11" s="8" t="s">
        <v>69</v>
      </c>
      <c r="B11" s="8" t="s">
        <v>64</v>
      </c>
      <c r="C11" s="8" t="s">
        <v>70</v>
      </c>
      <c r="D11" s="8" t="s">
        <v>66</v>
      </c>
    </row>
    <row r="12" spans="1:5" ht="21.75" customHeight="1" x14ac:dyDescent="0.2">
      <c r="A12" s="9" t="s">
        <v>71</v>
      </c>
      <c r="B12" s="9" t="s">
        <v>64</v>
      </c>
      <c r="C12" s="9" t="s">
        <v>72</v>
      </c>
      <c r="D12" s="9" t="s">
        <v>66</v>
      </c>
    </row>
    <row r="13" spans="1:5" ht="21.75" customHeight="1" x14ac:dyDescent="0.2">
      <c r="A13" s="8" t="s">
        <v>73</v>
      </c>
      <c r="B13" s="8" t="s">
        <v>74</v>
      </c>
      <c r="C13" s="8" t="s">
        <v>75</v>
      </c>
      <c r="D13" s="8" t="s">
        <v>76</v>
      </c>
    </row>
    <row r="14" spans="1:5" ht="21.75" customHeight="1" x14ac:dyDescent="0.2">
      <c r="A14" s="9" t="s">
        <v>77</v>
      </c>
      <c r="B14" s="9" t="s">
        <v>74</v>
      </c>
      <c r="C14" s="9" t="s">
        <v>78</v>
      </c>
      <c r="D14" s="9" t="s">
        <v>76</v>
      </c>
    </row>
    <row r="15" spans="1:5" ht="21.75" customHeight="1" x14ac:dyDescent="0.2">
      <c r="A15" s="8" t="s">
        <v>79</v>
      </c>
      <c r="B15" s="8" t="s">
        <v>74</v>
      </c>
      <c r="C15" s="8" t="s">
        <v>80</v>
      </c>
      <c r="D15" s="8" t="s">
        <v>76</v>
      </c>
    </row>
    <row r="16" spans="1:5" ht="21.75" customHeight="1" x14ac:dyDescent="0.2">
      <c r="A16" s="9" t="s">
        <v>81</v>
      </c>
      <c r="B16" s="9" t="s">
        <v>74</v>
      </c>
      <c r="C16" s="9" t="s">
        <v>82</v>
      </c>
      <c r="D16" s="9" t="s">
        <v>76</v>
      </c>
    </row>
    <row r="17" spans="1:4" ht="21.75" customHeight="1" x14ac:dyDescent="0.2">
      <c r="A17" s="8" t="s">
        <v>83</v>
      </c>
      <c r="B17" s="8" t="s">
        <v>84</v>
      </c>
      <c r="C17" s="8" t="s">
        <v>85</v>
      </c>
      <c r="D17" s="8" t="s">
        <v>86</v>
      </c>
    </row>
    <row r="18" spans="1:4" ht="21.75" customHeight="1" x14ac:dyDescent="0.2">
      <c r="A18" s="9" t="s">
        <v>87</v>
      </c>
      <c r="B18" s="9" t="s">
        <v>84</v>
      </c>
      <c r="C18" s="9" t="s">
        <v>88</v>
      </c>
      <c r="D18" s="9" t="s">
        <v>86</v>
      </c>
    </row>
    <row r="19" spans="1:4" ht="21.75" customHeight="1" x14ac:dyDescent="0.2">
      <c r="A19" s="8" t="s">
        <v>44</v>
      </c>
      <c r="B19" s="8" t="s">
        <v>84</v>
      </c>
      <c r="C19" s="8" t="s">
        <v>89</v>
      </c>
      <c r="D19" s="8" t="s">
        <v>86</v>
      </c>
    </row>
    <row r="20" spans="1:4" ht="21.75" customHeight="1" x14ac:dyDescent="0.2">
      <c r="A20" s="9" t="s">
        <v>46</v>
      </c>
      <c r="B20" s="9" t="s">
        <v>84</v>
      </c>
      <c r="C20" s="9" t="s">
        <v>90</v>
      </c>
      <c r="D20" s="9" t="s">
        <v>86</v>
      </c>
    </row>
    <row r="21" spans="1:4" ht="21.75" customHeight="1" x14ac:dyDescent="0.2">
      <c r="A21" s="8" t="s">
        <v>91</v>
      </c>
      <c r="B21" s="8" t="s">
        <v>92</v>
      </c>
      <c r="C21" s="8" t="s">
        <v>93</v>
      </c>
      <c r="D21" s="8" t="s">
        <v>94</v>
      </c>
    </row>
    <row r="22" spans="1:4" ht="21.75" customHeight="1" x14ac:dyDescent="0.2">
      <c r="A22" s="9" t="s">
        <v>38</v>
      </c>
      <c r="B22" s="9" t="s">
        <v>92</v>
      </c>
      <c r="C22" s="9" t="s">
        <v>95</v>
      </c>
      <c r="D22" s="9" t="s">
        <v>94</v>
      </c>
    </row>
    <row r="23" spans="1:4" ht="21.75" customHeight="1" x14ac:dyDescent="0.2">
      <c r="A23" s="8" t="s">
        <v>40</v>
      </c>
      <c r="B23" s="8" t="s">
        <v>92</v>
      </c>
      <c r="C23" s="8" t="s">
        <v>96</v>
      </c>
      <c r="D23" s="8" t="s">
        <v>94</v>
      </c>
    </row>
    <row r="24" spans="1:4" ht="21.75" customHeight="1" x14ac:dyDescent="0.2">
      <c r="A24" s="9" t="s">
        <v>42</v>
      </c>
      <c r="B24" s="9" t="s">
        <v>92</v>
      </c>
      <c r="C24" s="9" t="s">
        <v>97</v>
      </c>
      <c r="D24" s="9" t="s">
        <v>98</v>
      </c>
    </row>
    <row r="25" spans="1:4" ht="21.75" customHeight="1" x14ac:dyDescent="0.2">
      <c r="A25" s="8" t="s">
        <v>34</v>
      </c>
      <c r="B25" s="8" t="s">
        <v>99</v>
      </c>
      <c r="C25" s="8" t="s">
        <v>100</v>
      </c>
      <c r="D25" s="8" t="s">
        <v>101</v>
      </c>
    </row>
    <row r="26" spans="1:4" ht="21.75" customHeight="1" x14ac:dyDescent="0.2">
      <c r="A26" s="9" t="s">
        <v>36</v>
      </c>
      <c r="B26" s="9" t="s">
        <v>99</v>
      </c>
      <c r="C26" s="9" t="s">
        <v>102</v>
      </c>
      <c r="D26" s="9" t="s">
        <v>101</v>
      </c>
    </row>
    <row r="27" spans="1:4" ht="21.75" customHeight="1" x14ac:dyDescent="0.2">
      <c r="A27" s="8" t="s">
        <v>32</v>
      </c>
      <c r="B27" s="8" t="s">
        <v>99</v>
      </c>
      <c r="C27" s="8" t="s">
        <v>103</v>
      </c>
      <c r="D27" s="8" t="s">
        <v>101</v>
      </c>
    </row>
    <row r="28" spans="1:4" ht="21.75" customHeight="1" x14ac:dyDescent="0.2">
      <c r="A28" s="9" t="s">
        <v>48</v>
      </c>
      <c r="B28" s="9" t="s">
        <v>99</v>
      </c>
      <c r="C28" s="9" t="s">
        <v>104</v>
      </c>
      <c r="D28" s="9" t="s">
        <v>101</v>
      </c>
    </row>
    <row r="29" spans="1:4" ht="21.75" customHeight="1" x14ac:dyDescent="0.2">
      <c r="A29" s="8" t="s">
        <v>105</v>
      </c>
      <c r="B29" s="8" t="s">
        <v>106</v>
      </c>
      <c r="C29" s="8" t="s">
        <v>107</v>
      </c>
      <c r="D29" s="8" t="s">
        <v>108</v>
      </c>
    </row>
    <row r="30" spans="1:4" ht="21.75" customHeight="1" x14ac:dyDescent="0.2">
      <c r="A30" s="9" t="s">
        <v>109</v>
      </c>
      <c r="B30" s="9" t="s">
        <v>106</v>
      </c>
      <c r="C30" s="9" t="s">
        <v>110</v>
      </c>
      <c r="D30" s="9" t="s">
        <v>108</v>
      </c>
    </row>
    <row r="31" spans="1:4" ht="21.75" customHeight="1" x14ac:dyDescent="0.2">
      <c r="A31" s="8" t="s">
        <v>111</v>
      </c>
      <c r="B31" s="8" t="s">
        <v>106</v>
      </c>
      <c r="C31" s="8" t="s">
        <v>112</v>
      </c>
      <c r="D31" s="8" t="s">
        <v>108</v>
      </c>
    </row>
    <row r="32" spans="1:4" ht="21.75" customHeight="1" x14ac:dyDescent="0.2">
      <c r="A32" s="9" t="s">
        <v>113</v>
      </c>
      <c r="B32" s="9" t="s">
        <v>58</v>
      </c>
      <c r="C32" s="9" t="s">
        <v>114</v>
      </c>
      <c r="D32" s="9" t="s">
        <v>60</v>
      </c>
    </row>
  </sheetData>
  <mergeCells count="3">
    <mergeCell ref="B2:E2"/>
    <mergeCell ref="B3:E3"/>
    <mergeCell ref="A5:D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D7377"/>
  </sheetPr>
  <dimension ref="A1:H19"/>
  <sheetViews>
    <sheetView showGridLines="0" zoomScaleNormal="100" workbookViewId="0">
      <selection sqref="A1:H1"/>
    </sheetView>
  </sheetViews>
  <sheetFormatPr baseColWidth="10" defaultColWidth="8.6640625" defaultRowHeight="15" x14ac:dyDescent="0.2"/>
  <cols>
    <col min="1" max="2" width="14" customWidth="1"/>
    <col min="3" max="3" width="28" customWidth="1"/>
    <col min="4" max="4" width="20" customWidth="1"/>
    <col min="5" max="5" width="32" customWidth="1"/>
    <col min="6" max="6" width="14" customWidth="1"/>
    <col min="7" max="7" width="16" customWidth="1"/>
    <col min="8" max="8" width="10" customWidth="1"/>
  </cols>
  <sheetData>
    <row r="1" spans="1:8" ht="21.75" customHeight="1" x14ac:dyDescent="0.2">
      <c r="A1" s="63" t="s">
        <v>115</v>
      </c>
      <c r="B1" s="63"/>
      <c r="C1" s="63"/>
      <c r="D1" s="63"/>
      <c r="E1" s="63"/>
      <c r="F1" s="63"/>
      <c r="G1" s="63"/>
      <c r="H1" s="63"/>
    </row>
    <row r="2" spans="1:8" ht="27.75" customHeight="1" x14ac:dyDescent="0.2">
      <c r="A2" s="1" t="s">
        <v>116</v>
      </c>
      <c r="B2" s="1" t="s">
        <v>117</v>
      </c>
      <c r="C2" s="1" t="s">
        <v>118</v>
      </c>
      <c r="D2" s="1" t="s">
        <v>119</v>
      </c>
      <c r="E2" s="1" t="s">
        <v>120</v>
      </c>
      <c r="F2" s="1" t="s">
        <v>121</v>
      </c>
      <c r="G2" s="1" t="s">
        <v>122</v>
      </c>
      <c r="H2" s="1" t="s">
        <v>123</v>
      </c>
    </row>
    <row r="3" spans="1:8" ht="18" customHeight="1" x14ac:dyDescent="0.2">
      <c r="A3" s="8" t="s">
        <v>124</v>
      </c>
      <c r="B3" s="8" t="s">
        <v>125</v>
      </c>
      <c r="C3" s="8" t="s">
        <v>126</v>
      </c>
      <c r="D3" s="8" t="s">
        <v>127</v>
      </c>
      <c r="E3" s="8" t="s">
        <v>128</v>
      </c>
      <c r="F3" s="8" t="s">
        <v>129</v>
      </c>
      <c r="G3" s="8" t="s">
        <v>130</v>
      </c>
      <c r="H3" s="8" t="s">
        <v>131</v>
      </c>
    </row>
    <row r="4" spans="1:8" ht="18" customHeight="1" x14ac:dyDescent="0.2">
      <c r="A4" s="9" t="s">
        <v>132</v>
      </c>
      <c r="B4" s="9" t="s">
        <v>133</v>
      </c>
      <c r="C4" s="9" t="s">
        <v>134</v>
      </c>
      <c r="D4" s="9" t="s">
        <v>135</v>
      </c>
      <c r="E4" s="9" t="s">
        <v>136</v>
      </c>
      <c r="F4" s="9" t="s">
        <v>137</v>
      </c>
      <c r="G4" s="9" t="s">
        <v>138</v>
      </c>
      <c r="H4" s="9" t="s">
        <v>131</v>
      </c>
    </row>
    <row r="5" spans="1:8" ht="18" customHeight="1" x14ac:dyDescent="0.2">
      <c r="A5" s="8" t="s">
        <v>139</v>
      </c>
      <c r="B5" s="8" t="s">
        <v>140</v>
      </c>
      <c r="C5" s="8" t="s">
        <v>141</v>
      </c>
      <c r="D5" s="8" t="s">
        <v>142</v>
      </c>
      <c r="E5" s="8" t="s">
        <v>143</v>
      </c>
      <c r="F5" s="8" t="s">
        <v>144</v>
      </c>
      <c r="G5" s="8" t="s">
        <v>138</v>
      </c>
      <c r="H5" s="8" t="s">
        <v>131</v>
      </c>
    </row>
    <row r="6" spans="1:8" ht="18" customHeight="1" x14ac:dyDescent="0.2">
      <c r="A6" s="9" t="s">
        <v>145</v>
      </c>
      <c r="B6" s="9" t="s">
        <v>146</v>
      </c>
      <c r="C6" s="9" t="s">
        <v>147</v>
      </c>
      <c r="D6" s="9" t="s">
        <v>135</v>
      </c>
      <c r="E6" s="9" t="s">
        <v>148</v>
      </c>
      <c r="F6" s="9" t="s">
        <v>149</v>
      </c>
      <c r="G6" s="9" t="s">
        <v>138</v>
      </c>
      <c r="H6" s="9" t="s">
        <v>131</v>
      </c>
    </row>
    <row r="7" spans="1:8" ht="18" customHeight="1" x14ac:dyDescent="0.2">
      <c r="A7" s="8" t="s">
        <v>150</v>
      </c>
      <c r="B7" s="8" t="s">
        <v>151</v>
      </c>
      <c r="C7" s="8" t="s">
        <v>152</v>
      </c>
      <c r="D7" s="8" t="s">
        <v>135</v>
      </c>
      <c r="E7" s="8" t="s">
        <v>153</v>
      </c>
      <c r="F7" s="8" t="s">
        <v>154</v>
      </c>
      <c r="G7" s="8" t="s">
        <v>130</v>
      </c>
      <c r="H7" s="8" t="s">
        <v>131</v>
      </c>
    </row>
    <row r="8" spans="1:8" ht="18" customHeight="1" x14ac:dyDescent="0.2">
      <c r="A8" s="9" t="s">
        <v>155</v>
      </c>
      <c r="B8" s="9" t="s">
        <v>156</v>
      </c>
      <c r="C8" s="9" t="s">
        <v>157</v>
      </c>
      <c r="D8" s="9" t="s">
        <v>158</v>
      </c>
      <c r="E8" s="9" t="s">
        <v>159</v>
      </c>
      <c r="F8" s="9" t="s">
        <v>160</v>
      </c>
      <c r="G8" s="9" t="s">
        <v>130</v>
      </c>
      <c r="H8" s="9" t="s">
        <v>131</v>
      </c>
    </row>
    <row r="9" spans="1:8" ht="18" customHeight="1" x14ac:dyDescent="0.2">
      <c r="A9" s="8" t="s">
        <v>161</v>
      </c>
      <c r="B9" s="8" t="s">
        <v>162</v>
      </c>
      <c r="C9" s="8" t="s">
        <v>163</v>
      </c>
      <c r="D9" s="8" t="s">
        <v>127</v>
      </c>
      <c r="E9" s="8" t="s">
        <v>164</v>
      </c>
      <c r="F9" s="8" t="s">
        <v>165</v>
      </c>
      <c r="G9" s="8" t="s">
        <v>130</v>
      </c>
      <c r="H9" s="8" t="s">
        <v>131</v>
      </c>
    </row>
    <row r="10" spans="1:8" ht="18" customHeight="1" x14ac:dyDescent="0.2">
      <c r="A10" s="9" t="s">
        <v>166</v>
      </c>
      <c r="B10" s="9" t="s">
        <v>167</v>
      </c>
      <c r="C10" s="9" t="s">
        <v>168</v>
      </c>
      <c r="D10" s="9" t="s">
        <v>169</v>
      </c>
      <c r="E10" s="9" t="s">
        <v>170</v>
      </c>
      <c r="F10" s="9" t="s">
        <v>171</v>
      </c>
      <c r="G10" s="9" t="s">
        <v>138</v>
      </c>
      <c r="H10" s="9" t="s">
        <v>131</v>
      </c>
    </row>
    <row r="11" spans="1:8" ht="18" customHeight="1" x14ac:dyDescent="0.2">
      <c r="A11" s="8" t="s">
        <v>172</v>
      </c>
      <c r="B11" s="8" t="s">
        <v>173</v>
      </c>
      <c r="C11" s="8" t="s">
        <v>174</v>
      </c>
      <c r="D11" s="8" t="s">
        <v>127</v>
      </c>
      <c r="E11" s="8" t="s">
        <v>175</v>
      </c>
      <c r="F11" s="8" t="s">
        <v>176</v>
      </c>
      <c r="G11" s="8" t="s">
        <v>138</v>
      </c>
      <c r="H11" s="8" t="s">
        <v>131</v>
      </c>
    </row>
    <row r="12" spans="1:8" ht="18" customHeight="1" x14ac:dyDescent="0.2">
      <c r="A12" s="9" t="s">
        <v>177</v>
      </c>
      <c r="B12" s="9" t="s">
        <v>178</v>
      </c>
      <c r="C12" s="9" t="s">
        <v>179</v>
      </c>
      <c r="D12" s="9" t="s">
        <v>180</v>
      </c>
      <c r="E12" s="9" t="s">
        <v>181</v>
      </c>
      <c r="F12" s="9" t="s">
        <v>182</v>
      </c>
      <c r="G12" s="9" t="s">
        <v>130</v>
      </c>
      <c r="H12" s="9" t="s">
        <v>131</v>
      </c>
    </row>
    <row r="13" spans="1:8" ht="18" customHeight="1" x14ac:dyDescent="0.2">
      <c r="A13" s="8" t="s">
        <v>183</v>
      </c>
      <c r="B13" s="8" t="s">
        <v>184</v>
      </c>
      <c r="C13" s="8" t="s">
        <v>185</v>
      </c>
      <c r="D13" s="8" t="s">
        <v>142</v>
      </c>
      <c r="E13" s="8" t="s">
        <v>186</v>
      </c>
      <c r="F13" s="8" t="s">
        <v>187</v>
      </c>
      <c r="G13" s="8" t="s">
        <v>130</v>
      </c>
      <c r="H13" s="8" t="s">
        <v>131</v>
      </c>
    </row>
    <row r="14" spans="1:8" ht="18" customHeight="1" x14ac:dyDescent="0.2">
      <c r="A14" s="9" t="s">
        <v>188</v>
      </c>
      <c r="B14" s="9" t="s">
        <v>189</v>
      </c>
      <c r="C14" s="9" t="s">
        <v>190</v>
      </c>
      <c r="D14" s="9" t="s">
        <v>180</v>
      </c>
      <c r="E14" s="9" t="s">
        <v>191</v>
      </c>
      <c r="F14" s="9" t="s">
        <v>192</v>
      </c>
      <c r="G14" s="9" t="s">
        <v>130</v>
      </c>
      <c r="H14" s="9" t="s">
        <v>131</v>
      </c>
    </row>
    <row r="15" spans="1:8" ht="18" customHeight="1" x14ac:dyDescent="0.2">
      <c r="A15" s="8" t="s">
        <v>193</v>
      </c>
      <c r="B15" s="8" t="s">
        <v>194</v>
      </c>
      <c r="C15" s="8" t="s">
        <v>195</v>
      </c>
      <c r="D15" s="8" t="s">
        <v>127</v>
      </c>
      <c r="E15" s="8" t="s">
        <v>196</v>
      </c>
      <c r="F15" s="8" t="s">
        <v>197</v>
      </c>
      <c r="G15" s="8" t="s">
        <v>138</v>
      </c>
      <c r="H15" s="8" t="s">
        <v>131</v>
      </c>
    </row>
    <row r="16" spans="1:8" ht="18" customHeight="1" x14ac:dyDescent="0.2">
      <c r="A16" s="9" t="s">
        <v>198</v>
      </c>
      <c r="B16" s="9" t="s">
        <v>199</v>
      </c>
      <c r="C16" s="9" t="s">
        <v>200</v>
      </c>
      <c r="D16" s="9" t="s">
        <v>142</v>
      </c>
      <c r="E16" s="9" t="s">
        <v>201</v>
      </c>
      <c r="F16" s="9" t="s">
        <v>202</v>
      </c>
      <c r="G16" s="9" t="s">
        <v>130</v>
      </c>
      <c r="H16" s="9" t="s">
        <v>131</v>
      </c>
    </row>
    <row r="17" spans="1:8" ht="18" customHeight="1" x14ac:dyDescent="0.2">
      <c r="A17" s="8" t="s">
        <v>203</v>
      </c>
      <c r="B17" s="8" t="s">
        <v>204</v>
      </c>
      <c r="C17" s="8" t="s">
        <v>205</v>
      </c>
      <c r="D17" s="8" t="s">
        <v>180</v>
      </c>
      <c r="E17" s="8" t="s">
        <v>206</v>
      </c>
      <c r="F17" s="8" t="s">
        <v>207</v>
      </c>
      <c r="G17" s="8" t="s">
        <v>130</v>
      </c>
      <c r="H17" s="8" t="s">
        <v>131</v>
      </c>
    </row>
    <row r="18" spans="1:8" ht="18" customHeight="1" x14ac:dyDescent="0.2">
      <c r="A18" s="9" t="s">
        <v>208</v>
      </c>
      <c r="B18" s="9" t="s">
        <v>209</v>
      </c>
      <c r="C18" s="9" t="s">
        <v>210</v>
      </c>
      <c r="D18" s="9" t="s">
        <v>211</v>
      </c>
      <c r="E18" s="9" t="s">
        <v>212</v>
      </c>
      <c r="F18" s="9" t="s">
        <v>213</v>
      </c>
      <c r="G18" s="9" t="s">
        <v>130</v>
      </c>
      <c r="H18" s="9" t="s">
        <v>131</v>
      </c>
    </row>
    <row r="19" spans="1:8" ht="18" customHeight="1" x14ac:dyDescent="0.2">
      <c r="A19" s="8" t="s">
        <v>214</v>
      </c>
      <c r="B19" s="8" t="s">
        <v>215</v>
      </c>
      <c r="C19" s="8" t="s">
        <v>216</v>
      </c>
      <c r="D19" s="8" t="s">
        <v>135</v>
      </c>
      <c r="E19" s="8" t="s">
        <v>217</v>
      </c>
      <c r="F19" s="8" t="s">
        <v>218</v>
      </c>
      <c r="G19" s="8" t="s">
        <v>138</v>
      </c>
      <c r="H19" s="8" t="s">
        <v>131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D7377"/>
  </sheetPr>
  <dimension ref="A1:D23"/>
  <sheetViews>
    <sheetView showGridLines="0" zoomScaleNormal="100" workbookViewId="0">
      <selection sqref="A1:D1"/>
    </sheetView>
  </sheetViews>
  <sheetFormatPr baseColWidth="10" defaultColWidth="8.6640625" defaultRowHeight="15" x14ac:dyDescent="0.2"/>
  <cols>
    <col min="1" max="1" width="12" customWidth="1"/>
    <col min="2" max="2" width="65" customWidth="1"/>
    <col min="3" max="3" width="16" customWidth="1"/>
    <col min="4" max="4" width="40" customWidth="1"/>
  </cols>
  <sheetData>
    <row r="1" spans="1:4" ht="21.75" customHeight="1" x14ac:dyDescent="0.2">
      <c r="A1" s="63" t="s">
        <v>219</v>
      </c>
      <c r="B1" s="63"/>
      <c r="C1" s="63"/>
      <c r="D1" s="63"/>
    </row>
    <row r="2" spans="1:4" ht="27.75" customHeight="1" x14ac:dyDescent="0.2">
      <c r="A2" s="1" t="s">
        <v>220</v>
      </c>
      <c r="B2" s="1" t="s">
        <v>221</v>
      </c>
      <c r="C2" s="1" t="s">
        <v>222</v>
      </c>
      <c r="D2" s="1" t="s">
        <v>223</v>
      </c>
    </row>
    <row r="3" spans="1:4" ht="18" customHeight="1" x14ac:dyDescent="0.2">
      <c r="A3" s="8" t="s">
        <v>224</v>
      </c>
      <c r="B3" s="8" t="s">
        <v>225</v>
      </c>
      <c r="C3" s="8" t="s">
        <v>226</v>
      </c>
      <c r="D3" s="8"/>
    </row>
    <row r="4" spans="1:4" ht="18" customHeight="1" x14ac:dyDescent="0.2">
      <c r="A4" s="9" t="s">
        <v>227</v>
      </c>
      <c r="B4" s="9" t="s">
        <v>228</v>
      </c>
      <c r="C4" s="9" t="s">
        <v>229</v>
      </c>
      <c r="D4" s="9" t="s">
        <v>230</v>
      </c>
    </row>
    <row r="5" spans="1:4" ht="18" customHeight="1" x14ac:dyDescent="0.2">
      <c r="A5" s="8" t="s">
        <v>231</v>
      </c>
      <c r="B5" s="8" t="s">
        <v>232</v>
      </c>
      <c r="C5" s="8" t="s">
        <v>233</v>
      </c>
      <c r="D5" s="8"/>
    </row>
    <row r="6" spans="1:4" ht="18" customHeight="1" x14ac:dyDescent="0.2">
      <c r="A6" s="9" t="s">
        <v>234</v>
      </c>
      <c r="B6" s="9" t="s">
        <v>235</v>
      </c>
      <c r="C6" s="9" t="s">
        <v>236</v>
      </c>
      <c r="D6" s="9" t="s">
        <v>237</v>
      </c>
    </row>
    <row r="7" spans="1:4" ht="18" customHeight="1" x14ac:dyDescent="0.2">
      <c r="A7" s="8" t="s">
        <v>238</v>
      </c>
      <c r="B7" s="8" t="s">
        <v>239</v>
      </c>
      <c r="C7" s="8" t="s">
        <v>240</v>
      </c>
      <c r="D7" s="8"/>
    </row>
    <row r="8" spans="1:4" ht="18" customHeight="1" x14ac:dyDescent="0.2">
      <c r="A8" s="9" t="s">
        <v>241</v>
      </c>
      <c r="B8" s="9" t="s">
        <v>242</v>
      </c>
      <c r="C8" s="9" t="s">
        <v>243</v>
      </c>
      <c r="D8" s="9"/>
    </row>
    <row r="9" spans="1:4" ht="18" customHeight="1" x14ac:dyDescent="0.2">
      <c r="A9" s="8" t="s">
        <v>244</v>
      </c>
      <c r="B9" s="8" t="s">
        <v>245</v>
      </c>
      <c r="C9" s="8" t="s">
        <v>246</v>
      </c>
      <c r="D9" s="8"/>
    </row>
    <row r="10" spans="1:4" ht="18" customHeight="1" x14ac:dyDescent="0.2">
      <c r="A10" s="9" t="s">
        <v>247</v>
      </c>
      <c r="B10" s="9" t="s">
        <v>248</v>
      </c>
      <c r="C10" s="9" t="s">
        <v>249</v>
      </c>
      <c r="D10" s="9"/>
    </row>
    <row r="11" spans="1:4" ht="18" customHeight="1" x14ac:dyDescent="0.2">
      <c r="A11" s="8" t="s">
        <v>250</v>
      </c>
      <c r="B11" s="8" t="s">
        <v>251</v>
      </c>
      <c r="C11" s="8" t="s">
        <v>252</v>
      </c>
      <c r="D11" s="8"/>
    </row>
    <row r="12" spans="1:4" ht="18" customHeight="1" x14ac:dyDescent="0.2">
      <c r="A12" s="9" t="s">
        <v>253</v>
      </c>
      <c r="B12" s="9" t="s">
        <v>254</v>
      </c>
      <c r="C12" s="9" t="s">
        <v>255</v>
      </c>
      <c r="D12" s="9"/>
    </row>
    <row r="13" spans="1:4" ht="18" customHeight="1" x14ac:dyDescent="0.2">
      <c r="A13" s="8" t="s">
        <v>256</v>
      </c>
      <c r="B13" s="8" t="s">
        <v>257</v>
      </c>
      <c r="C13" s="8" t="s">
        <v>258</v>
      </c>
      <c r="D13" s="8"/>
    </row>
    <row r="14" spans="1:4" ht="18" customHeight="1" x14ac:dyDescent="0.2">
      <c r="A14" s="9" t="s">
        <v>259</v>
      </c>
      <c r="B14" s="9" t="s">
        <v>260</v>
      </c>
      <c r="C14" s="9" t="s">
        <v>261</v>
      </c>
      <c r="D14" s="9"/>
    </row>
    <row r="15" spans="1:4" ht="18" customHeight="1" x14ac:dyDescent="0.2">
      <c r="A15" s="8" t="s">
        <v>262</v>
      </c>
      <c r="B15" s="8" t="s">
        <v>263</v>
      </c>
      <c r="C15" s="8" t="s">
        <v>264</v>
      </c>
      <c r="D15" s="8"/>
    </row>
    <row r="16" spans="1:4" ht="18" customHeight="1" x14ac:dyDescent="0.2">
      <c r="A16" s="9" t="s">
        <v>265</v>
      </c>
      <c r="B16" s="9" t="s">
        <v>266</v>
      </c>
      <c r="C16" s="9" t="s">
        <v>267</v>
      </c>
      <c r="D16" s="9"/>
    </row>
    <row r="17" spans="1:4" ht="18" customHeight="1" x14ac:dyDescent="0.2">
      <c r="A17" s="8" t="s">
        <v>268</v>
      </c>
      <c r="B17" s="8" t="s">
        <v>269</v>
      </c>
      <c r="C17" s="8" t="s">
        <v>270</v>
      </c>
      <c r="D17" s="8" t="s">
        <v>271</v>
      </c>
    </row>
    <row r="18" spans="1:4" ht="18" customHeight="1" x14ac:dyDescent="0.2">
      <c r="A18" s="9" t="s">
        <v>272</v>
      </c>
      <c r="B18" s="9" t="s">
        <v>273</v>
      </c>
      <c r="C18" s="9" t="s">
        <v>274</v>
      </c>
      <c r="D18" s="9"/>
    </row>
    <row r="19" spans="1:4" ht="18" customHeight="1" x14ac:dyDescent="0.2">
      <c r="A19" s="8" t="s">
        <v>275</v>
      </c>
      <c r="B19" s="8" t="s">
        <v>276</v>
      </c>
      <c r="C19" s="8" t="s">
        <v>277</v>
      </c>
      <c r="D19" s="8"/>
    </row>
    <row r="20" spans="1:4" ht="18" customHeight="1" x14ac:dyDescent="0.2">
      <c r="A20" s="9" t="s">
        <v>278</v>
      </c>
      <c r="B20" s="9" t="s">
        <v>279</v>
      </c>
      <c r="C20" s="9" t="s">
        <v>280</v>
      </c>
      <c r="D20" s="9"/>
    </row>
    <row r="21" spans="1:4" ht="18" customHeight="1" x14ac:dyDescent="0.2">
      <c r="A21" s="8" t="s">
        <v>281</v>
      </c>
      <c r="B21" s="8" t="s">
        <v>282</v>
      </c>
      <c r="C21" s="8" t="s">
        <v>283</v>
      </c>
      <c r="D21" s="8" t="s">
        <v>284</v>
      </c>
    </row>
    <row r="22" spans="1:4" ht="18" customHeight="1" x14ac:dyDescent="0.2">
      <c r="A22" s="9" t="s">
        <v>285</v>
      </c>
      <c r="B22" s="9" t="s">
        <v>286</v>
      </c>
      <c r="C22" s="9" t="s">
        <v>287</v>
      </c>
      <c r="D22" s="9"/>
    </row>
    <row r="23" spans="1:4" ht="18" customHeight="1" x14ac:dyDescent="0.2">
      <c r="A23" s="8" t="s">
        <v>288</v>
      </c>
      <c r="B23" s="8" t="s">
        <v>289</v>
      </c>
      <c r="C23" s="8" t="s">
        <v>290</v>
      </c>
      <c r="D23" s="8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D7377"/>
  </sheetPr>
  <dimension ref="A1:F9"/>
  <sheetViews>
    <sheetView showGridLines="0" zoomScaleNormal="100" workbookViewId="0">
      <selection sqref="A1:F1"/>
    </sheetView>
  </sheetViews>
  <sheetFormatPr baseColWidth="10" defaultColWidth="8.6640625" defaultRowHeight="15" x14ac:dyDescent="0.2"/>
  <cols>
    <col min="1" max="1" width="16" customWidth="1"/>
    <col min="2" max="2" width="12" customWidth="1"/>
    <col min="3" max="3" width="65" customWidth="1"/>
    <col min="4" max="4" width="12" customWidth="1"/>
    <col min="5" max="5" width="45" customWidth="1"/>
    <col min="6" max="6" width="12" customWidth="1"/>
  </cols>
  <sheetData>
    <row r="1" spans="1:6" ht="21.75" customHeight="1" x14ac:dyDescent="0.2">
      <c r="A1" s="67" t="s">
        <v>291</v>
      </c>
      <c r="B1" s="67"/>
      <c r="C1" s="67"/>
      <c r="D1" s="67"/>
      <c r="E1" s="67"/>
      <c r="F1" s="67"/>
    </row>
    <row r="2" spans="1:6" ht="27.75" customHeight="1" x14ac:dyDescent="0.2">
      <c r="A2" s="3" t="s">
        <v>292</v>
      </c>
      <c r="B2" s="3" t="s">
        <v>293</v>
      </c>
      <c r="C2" s="3" t="s">
        <v>294</v>
      </c>
      <c r="D2" s="3" t="s">
        <v>295</v>
      </c>
      <c r="E2" s="3" t="s">
        <v>296</v>
      </c>
      <c r="F2" s="3" t="s">
        <v>297</v>
      </c>
    </row>
    <row r="3" spans="1:6" ht="18" customHeight="1" x14ac:dyDescent="0.2">
      <c r="A3" s="8" t="s">
        <v>298</v>
      </c>
      <c r="B3" s="8" t="s">
        <v>299</v>
      </c>
      <c r="C3" s="8" t="s">
        <v>300</v>
      </c>
      <c r="D3" s="8" t="s">
        <v>227</v>
      </c>
      <c r="E3" s="8" t="s">
        <v>301</v>
      </c>
      <c r="F3" s="8" t="s">
        <v>302</v>
      </c>
    </row>
    <row r="4" spans="1:6" ht="18" customHeight="1" x14ac:dyDescent="0.2">
      <c r="A4" s="9" t="s">
        <v>303</v>
      </c>
      <c r="B4" s="9" t="s">
        <v>299</v>
      </c>
      <c r="C4" s="9" t="s">
        <v>304</v>
      </c>
      <c r="D4" s="9" t="s">
        <v>227</v>
      </c>
      <c r="E4" s="9" t="s">
        <v>305</v>
      </c>
      <c r="F4" s="9" t="s">
        <v>302</v>
      </c>
    </row>
    <row r="5" spans="1:6" ht="18" customHeight="1" x14ac:dyDescent="0.2">
      <c r="A5" s="8" t="s">
        <v>306</v>
      </c>
      <c r="B5" s="8" t="s">
        <v>307</v>
      </c>
      <c r="C5" s="8" t="s">
        <v>308</v>
      </c>
      <c r="D5" s="8" t="s">
        <v>227</v>
      </c>
      <c r="E5" s="8" t="s">
        <v>309</v>
      </c>
      <c r="F5" s="8" t="s">
        <v>302</v>
      </c>
    </row>
    <row r="6" spans="1:6" ht="18" customHeight="1" x14ac:dyDescent="0.2">
      <c r="A6" s="9" t="s">
        <v>310</v>
      </c>
      <c r="B6" s="9" t="s">
        <v>311</v>
      </c>
      <c r="C6" s="9" t="s">
        <v>312</v>
      </c>
      <c r="D6" s="9" t="s">
        <v>234</v>
      </c>
      <c r="E6" s="9" t="s">
        <v>313</v>
      </c>
      <c r="F6" s="9" t="s">
        <v>302</v>
      </c>
    </row>
    <row r="7" spans="1:6" ht="18" customHeight="1" x14ac:dyDescent="0.2">
      <c r="A7" s="8" t="s">
        <v>314</v>
      </c>
      <c r="B7" s="8" t="s">
        <v>315</v>
      </c>
      <c r="C7" s="8" t="s">
        <v>316</v>
      </c>
      <c r="D7" s="8" t="s">
        <v>234</v>
      </c>
      <c r="E7" s="8" t="s">
        <v>317</v>
      </c>
      <c r="F7" s="8" t="s">
        <v>302</v>
      </c>
    </row>
    <row r="8" spans="1:6" ht="18" customHeight="1" x14ac:dyDescent="0.2">
      <c r="A8" s="9" t="s">
        <v>318</v>
      </c>
      <c r="B8" s="9" t="s">
        <v>315</v>
      </c>
      <c r="C8" s="9" t="s">
        <v>319</v>
      </c>
      <c r="D8" s="9" t="s">
        <v>234</v>
      </c>
      <c r="E8" s="9"/>
      <c r="F8" s="9" t="s">
        <v>302</v>
      </c>
    </row>
    <row r="9" spans="1:6" ht="18" customHeight="1" x14ac:dyDescent="0.2">
      <c r="A9" s="8" t="s">
        <v>320</v>
      </c>
      <c r="B9" s="8" t="s">
        <v>321</v>
      </c>
      <c r="C9" s="8" t="s">
        <v>322</v>
      </c>
      <c r="D9" s="8" t="s">
        <v>268</v>
      </c>
      <c r="E9" s="8" t="s">
        <v>323</v>
      </c>
      <c r="F9" s="8" t="s">
        <v>302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D7377"/>
  </sheetPr>
  <dimension ref="A1:G10"/>
  <sheetViews>
    <sheetView showGridLines="0" zoomScaleNormal="100" workbookViewId="0">
      <selection sqref="A1:G1"/>
    </sheetView>
  </sheetViews>
  <sheetFormatPr baseColWidth="10" defaultColWidth="8.6640625" defaultRowHeight="15" x14ac:dyDescent="0.2"/>
  <cols>
    <col min="1" max="1" width="18" customWidth="1"/>
    <col min="2" max="2" width="12" customWidth="1"/>
    <col min="3" max="3" width="14" customWidth="1"/>
    <col min="4" max="4" width="60" customWidth="1"/>
    <col min="5" max="5" width="14" customWidth="1"/>
    <col min="6" max="6" width="16" customWidth="1"/>
    <col min="7" max="7" width="45" customWidth="1"/>
  </cols>
  <sheetData>
    <row r="1" spans="1:7" ht="31.5" customHeight="1" x14ac:dyDescent="0.2">
      <c r="A1" s="68" t="s">
        <v>324</v>
      </c>
      <c r="B1" s="68"/>
      <c r="C1" s="68"/>
      <c r="D1" s="68"/>
      <c r="E1" s="68"/>
      <c r="F1" s="68"/>
      <c r="G1" s="68"/>
    </row>
    <row r="2" spans="1:7" ht="21.75" customHeight="1" x14ac:dyDescent="0.2">
      <c r="A2" s="67" t="s">
        <v>325</v>
      </c>
      <c r="B2" s="67"/>
      <c r="C2" s="67"/>
      <c r="D2" s="67"/>
      <c r="E2" s="67"/>
      <c r="F2" s="67"/>
      <c r="G2" s="67"/>
    </row>
    <row r="3" spans="1:7" ht="27.75" customHeight="1" x14ac:dyDescent="0.2">
      <c r="A3" s="3" t="s">
        <v>326</v>
      </c>
      <c r="B3" s="3" t="s">
        <v>327</v>
      </c>
      <c r="C3" s="3" t="s">
        <v>328</v>
      </c>
      <c r="D3" s="3" t="s">
        <v>329</v>
      </c>
      <c r="E3" s="3" t="s">
        <v>330</v>
      </c>
      <c r="F3" s="3" t="s">
        <v>331</v>
      </c>
      <c r="G3" s="3" t="s">
        <v>296</v>
      </c>
    </row>
    <row r="4" spans="1:7" ht="18" customHeight="1" x14ac:dyDescent="0.2">
      <c r="A4" s="9" t="s">
        <v>332</v>
      </c>
      <c r="B4" s="9" t="s">
        <v>302</v>
      </c>
      <c r="C4" s="9" t="s">
        <v>314</v>
      </c>
      <c r="D4" s="9" t="s">
        <v>333</v>
      </c>
      <c r="E4" s="9" t="s">
        <v>334</v>
      </c>
      <c r="F4" s="9" t="s">
        <v>335</v>
      </c>
      <c r="G4" s="9" t="s">
        <v>336</v>
      </c>
    </row>
    <row r="5" spans="1:7" ht="18" customHeight="1" x14ac:dyDescent="0.2">
      <c r="A5" s="8" t="s">
        <v>337</v>
      </c>
      <c r="B5" s="8" t="s">
        <v>302</v>
      </c>
      <c r="C5" s="8" t="s">
        <v>314</v>
      </c>
      <c r="D5" s="8" t="s">
        <v>338</v>
      </c>
      <c r="E5" s="8" t="s">
        <v>334</v>
      </c>
      <c r="F5" s="8" t="s">
        <v>335</v>
      </c>
      <c r="G5" s="8"/>
    </row>
    <row r="6" spans="1:7" ht="18" customHeight="1" x14ac:dyDescent="0.2">
      <c r="A6" s="9" t="s">
        <v>339</v>
      </c>
      <c r="B6" s="9" t="s">
        <v>302</v>
      </c>
      <c r="C6" s="9" t="s">
        <v>303</v>
      </c>
      <c r="D6" s="9" t="s">
        <v>340</v>
      </c>
      <c r="E6" s="9" t="s">
        <v>334</v>
      </c>
      <c r="F6" s="9" t="s">
        <v>335</v>
      </c>
      <c r="G6" s="9" t="s">
        <v>341</v>
      </c>
    </row>
    <row r="7" spans="1:7" ht="18" customHeight="1" x14ac:dyDescent="0.2">
      <c r="A7" s="8" t="s">
        <v>342</v>
      </c>
      <c r="B7" s="8" t="s">
        <v>302</v>
      </c>
      <c r="C7" s="8" t="s">
        <v>310</v>
      </c>
      <c r="D7" s="8" t="s">
        <v>343</v>
      </c>
      <c r="E7" s="8" t="s">
        <v>334</v>
      </c>
      <c r="F7" s="8" t="s">
        <v>335</v>
      </c>
      <c r="G7" s="8" t="s">
        <v>344</v>
      </c>
    </row>
    <row r="8" spans="1:7" ht="18" customHeight="1" x14ac:dyDescent="0.2">
      <c r="A8" s="9" t="s">
        <v>345</v>
      </c>
      <c r="B8" s="9" t="s">
        <v>302</v>
      </c>
      <c r="C8" s="9" t="s">
        <v>306</v>
      </c>
      <c r="D8" s="9" t="s">
        <v>346</v>
      </c>
      <c r="E8" s="9" t="s">
        <v>334</v>
      </c>
      <c r="F8" s="9" t="s">
        <v>335</v>
      </c>
      <c r="G8" s="9"/>
    </row>
    <row r="9" spans="1:7" ht="18" customHeight="1" x14ac:dyDescent="0.2">
      <c r="A9" s="8" t="s">
        <v>347</v>
      </c>
      <c r="B9" s="8" t="s">
        <v>302</v>
      </c>
      <c r="C9" s="8" t="s">
        <v>306</v>
      </c>
      <c r="D9" s="8" t="s">
        <v>348</v>
      </c>
      <c r="E9" s="8" t="s">
        <v>334</v>
      </c>
      <c r="F9" s="8" t="s">
        <v>335</v>
      </c>
      <c r="G9" s="8" t="s">
        <v>349</v>
      </c>
    </row>
    <row r="10" spans="1:7" ht="18" customHeight="1" x14ac:dyDescent="0.2">
      <c r="A10" s="9" t="s">
        <v>350</v>
      </c>
      <c r="B10" s="9" t="s">
        <v>302</v>
      </c>
      <c r="C10" s="9" t="s">
        <v>320</v>
      </c>
      <c r="D10" s="9" t="s">
        <v>351</v>
      </c>
      <c r="E10" s="9" t="s">
        <v>334</v>
      </c>
      <c r="F10" s="9" t="s">
        <v>335</v>
      </c>
      <c r="G10" s="9"/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5007A"/>
  </sheetPr>
  <dimension ref="A1:H24"/>
  <sheetViews>
    <sheetView showGridLines="0" zoomScaleNormal="100" workbookViewId="0">
      <selection sqref="A1:H1"/>
    </sheetView>
  </sheetViews>
  <sheetFormatPr baseColWidth="10" defaultColWidth="8.6640625" defaultRowHeight="15" x14ac:dyDescent="0.2"/>
  <cols>
    <col min="1" max="1" width="20" customWidth="1"/>
    <col min="2" max="2" width="14" customWidth="1"/>
    <col min="3" max="3" width="18" customWidth="1"/>
    <col min="4" max="4" width="12" customWidth="1"/>
    <col min="5" max="5" width="55" customWidth="1"/>
    <col min="6" max="6" width="18" customWidth="1"/>
    <col min="7" max="7" width="12" customWidth="1"/>
    <col min="8" max="8" width="10" customWidth="1"/>
  </cols>
  <sheetData>
    <row r="1" spans="1:8" ht="31.5" customHeight="1" x14ac:dyDescent="0.2">
      <c r="A1" s="68" t="s">
        <v>352</v>
      </c>
      <c r="B1" s="68"/>
      <c r="C1" s="68"/>
      <c r="D1" s="68"/>
      <c r="E1" s="68"/>
      <c r="F1" s="68"/>
      <c r="G1" s="68"/>
      <c r="H1" s="68"/>
    </row>
    <row r="2" spans="1:8" ht="21.75" customHeight="1" x14ac:dyDescent="0.2">
      <c r="A2" s="67" t="s">
        <v>353</v>
      </c>
      <c r="B2" s="67"/>
      <c r="C2" s="67"/>
      <c r="D2" s="67"/>
      <c r="E2" s="67"/>
      <c r="F2" s="67"/>
      <c r="G2" s="67"/>
      <c r="H2" s="67"/>
    </row>
    <row r="3" spans="1:8" ht="27.75" customHeight="1" x14ac:dyDescent="0.2">
      <c r="A3" s="3" t="s">
        <v>354</v>
      </c>
      <c r="B3" s="3" t="s">
        <v>355</v>
      </c>
      <c r="C3" s="3" t="s">
        <v>356</v>
      </c>
      <c r="D3" s="3" t="s">
        <v>357</v>
      </c>
      <c r="E3" s="3" t="s">
        <v>358</v>
      </c>
      <c r="F3" s="3" t="s">
        <v>359</v>
      </c>
      <c r="G3" s="3" t="s">
        <v>360</v>
      </c>
      <c r="H3" s="3" t="s">
        <v>123</v>
      </c>
    </row>
    <row r="4" spans="1:8" ht="18" customHeight="1" x14ac:dyDescent="0.2">
      <c r="A4" s="9" t="s">
        <v>361</v>
      </c>
      <c r="B4" s="9" t="s">
        <v>208</v>
      </c>
      <c r="C4" s="9" t="s">
        <v>332</v>
      </c>
      <c r="D4" s="9" t="s">
        <v>302</v>
      </c>
      <c r="E4" s="9" t="s">
        <v>362</v>
      </c>
      <c r="F4" s="9" t="s">
        <v>334</v>
      </c>
      <c r="G4" s="9" t="s">
        <v>363</v>
      </c>
      <c r="H4" s="9" t="s">
        <v>131</v>
      </c>
    </row>
    <row r="5" spans="1:8" ht="18" customHeight="1" x14ac:dyDescent="0.2">
      <c r="A5" s="8" t="s">
        <v>364</v>
      </c>
      <c r="B5" s="8" t="s">
        <v>208</v>
      </c>
      <c r="C5" s="8" t="s">
        <v>332</v>
      </c>
      <c r="D5" s="8" t="s">
        <v>302</v>
      </c>
      <c r="E5" s="8" t="s">
        <v>365</v>
      </c>
      <c r="F5" s="8" t="s">
        <v>334</v>
      </c>
      <c r="G5" s="8" t="s">
        <v>363</v>
      </c>
      <c r="H5" s="8" t="s">
        <v>131</v>
      </c>
    </row>
    <row r="6" spans="1:8" ht="18" customHeight="1" x14ac:dyDescent="0.2">
      <c r="A6" s="9" t="s">
        <v>366</v>
      </c>
      <c r="B6" s="9" t="s">
        <v>139</v>
      </c>
      <c r="C6" s="9" t="s">
        <v>332</v>
      </c>
      <c r="D6" s="9" t="s">
        <v>302</v>
      </c>
      <c r="E6" s="9" t="s">
        <v>367</v>
      </c>
      <c r="F6" s="9" t="s">
        <v>334</v>
      </c>
      <c r="G6" s="9" t="s">
        <v>368</v>
      </c>
      <c r="H6" s="9" t="s">
        <v>131</v>
      </c>
    </row>
    <row r="7" spans="1:8" ht="18" customHeight="1" x14ac:dyDescent="0.2">
      <c r="A7" s="8" t="s">
        <v>366</v>
      </c>
      <c r="B7" s="8" t="s">
        <v>198</v>
      </c>
      <c r="C7" s="8" t="s">
        <v>332</v>
      </c>
      <c r="D7" s="8" t="s">
        <v>302</v>
      </c>
      <c r="E7" s="8" t="s">
        <v>367</v>
      </c>
      <c r="F7" s="8" t="s">
        <v>334</v>
      </c>
      <c r="G7" s="8" t="s">
        <v>368</v>
      </c>
      <c r="H7" s="8" t="s">
        <v>131</v>
      </c>
    </row>
    <row r="8" spans="1:8" ht="18" customHeight="1" x14ac:dyDescent="0.2">
      <c r="A8" s="9" t="s">
        <v>366</v>
      </c>
      <c r="B8" s="9" t="s">
        <v>193</v>
      </c>
      <c r="C8" s="9" t="s">
        <v>332</v>
      </c>
      <c r="D8" s="9" t="s">
        <v>302</v>
      </c>
      <c r="E8" s="9" t="s">
        <v>369</v>
      </c>
      <c r="F8" s="9" t="s">
        <v>334</v>
      </c>
      <c r="G8" s="9" t="s">
        <v>368</v>
      </c>
      <c r="H8" s="9" t="s">
        <v>131</v>
      </c>
    </row>
    <row r="9" spans="1:8" ht="18" customHeight="1" x14ac:dyDescent="0.2">
      <c r="A9" s="8" t="s">
        <v>366</v>
      </c>
      <c r="B9" s="8" t="s">
        <v>145</v>
      </c>
      <c r="C9" s="8" t="s">
        <v>332</v>
      </c>
      <c r="D9" s="8" t="s">
        <v>302</v>
      </c>
      <c r="E9" s="8" t="s">
        <v>370</v>
      </c>
      <c r="F9" s="8" t="s">
        <v>334</v>
      </c>
      <c r="G9" s="8" t="s">
        <v>368</v>
      </c>
      <c r="H9" s="8" t="s">
        <v>131</v>
      </c>
    </row>
    <row r="10" spans="1:8" ht="18" customHeight="1" x14ac:dyDescent="0.2">
      <c r="A10" s="9" t="s">
        <v>366</v>
      </c>
      <c r="B10" s="9" t="s">
        <v>166</v>
      </c>
      <c r="C10" s="9" t="s">
        <v>332</v>
      </c>
      <c r="D10" s="9" t="s">
        <v>302</v>
      </c>
      <c r="E10" s="9" t="s">
        <v>371</v>
      </c>
      <c r="F10" s="9" t="s">
        <v>334</v>
      </c>
      <c r="G10" s="9" t="s">
        <v>368</v>
      </c>
      <c r="H10" s="9" t="s">
        <v>131</v>
      </c>
    </row>
    <row r="11" spans="1:8" ht="18" customHeight="1" x14ac:dyDescent="0.2">
      <c r="A11" s="8" t="s">
        <v>366</v>
      </c>
      <c r="B11" s="8" t="s">
        <v>203</v>
      </c>
      <c r="C11" s="8" t="s">
        <v>332</v>
      </c>
      <c r="D11" s="8" t="s">
        <v>302</v>
      </c>
      <c r="E11" s="8" t="s">
        <v>372</v>
      </c>
      <c r="F11" s="8" t="s">
        <v>334</v>
      </c>
      <c r="G11" s="8" t="s">
        <v>368</v>
      </c>
      <c r="H11" s="8" t="s">
        <v>131</v>
      </c>
    </row>
    <row r="12" spans="1:8" ht="18" customHeight="1" x14ac:dyDescent="0.2">
      <c r="A12" s="9" t="s">
        <v>366</v>
      </c>
      <c r="B12" s="9" t="s">
        <v>188</v>
      </c>
      <c r="C12" s="9" t="s">
        <v>332</v>
      </c>
      <c r="D12" s="9" t="s">
        <v>302</v>
      </c>
      <c r="E12" s="9" t="s">
        <v>372</v>
      </c>
      <c r="F12" s="9" t="s">
        <v>334</v>
      </c>
      <c r="G12" s="9" t="s">
        <v>368</v>
      </c>
      <c r="H12" s="9" t="s">
        <v>131</v>
      </c>
    </row>
    <row r="13" spans="1:8" ht="18" customHeight="1" x14ac:dyDescent="0.2">
      <c r="A13" s="8" t="s">
        <v>366</v>
      </c>
      <c r="B13" s="8" t="s">
        <v>177</v>
      </c>
      <c r="C13" s="8" t="s">
        <v>332</v>
      </c>
      <c r="D13" s="8" t="s">
        <v>302</v>
      </c>
      <c r="E13" s="8" t="s">
        <v>372</v>
      </c>
      <c r="F13" s="8" t="s">
        <v>334</v>
      </c>
      <c r="G13" s="8" t="s">
        <v>368</v>
      </c>
      <c r="H13" s="8" t="s">
        <v>131</v>
      </c>
    </row>
    <row r="14" spans="1:8" ht="18" customHeight="1" x14ac:dyDescent="0.2">
      <c r="A14" s="9" t="s">
        <v>366</v>
      </c>
      <c r="B14" s="9" t="s">
        <v>183</v>
      </c>
      <c r="C14" s="9" t="s">
        <v>332</v>
      </c>
      <c r="D14" s="9" t="s">
        <v>302</v>
      </c>
      <c r="E14" s="9" t="s">
        <v>367</v>
      </c>
      <c r="F14" s="9" t="s">
        <v>334</v>
      </c>
      <c r="G14" s="9" t="s">
        <v>368</v>
      </c>
      <c r="H14" s="9" t="s">
        <v>131</v>
      </c>
    </row>
    <row r="15" spans="1:8" ht="18" customHeight="1" x14ac:dyDescent="0.2">
      <c r="A15" s="8" t="s">
        <v>366</v>
      </c>
      <c r="B15" s="8" t="s">
        <v>132</v>
      </c>
      <c r="C15" s="8" t="s">
        <v>332</v>
      </c>
      <c r="D15" s="8" t="s">
        <v>302</v>
      </c>
      <c r="E15" s="8" t="s">
        <v>373</v>
      </c>
      <c r="F15" s="8" t="s">
        <v>334</v>
      </c>
      <c r="G15" s="8" t="s">
        <v>368</v>
      </c>
      <c r="H15" s="8" t="s">
        <v>131</v>
      </c>
    </row>
    <row r="16" spans="1:8" ht="18" customHeight="1" x14ac:dyDescent="0.2">
      <c r="A16" s="9" t="s">
        <v>366</v>
      </c>
      <c r="B16" s="9" t="s">
        <v>150</v>
      </c>
      <c r="C16" s="9" t="s">
        <v>332</v>
      </c>
      <c r="D16" s="9" t="s">
        <v>302</v>
      </c>
      <c r="E16" s="9" t="s">
        <v>371</v>
      </c>
      <c r="F16" s="9" t="s">
        <v>334</v>
      </c>
      <c r="G16" s="9" t="s">
        <v>368</v>
      </c>
      <c r="H16" s="9" t="s">
        <v>131</v>
      </c>
    </row>
    <row r="17" spans="1:8" ht="18" customHeight="1" x14ac:dyDescent="0.2">
      <c r="A17" s="8" t="s">
        <v>366</v>
      </c>
      <c r="B17" s="8" t="s">
        <v>214</v>
      </c>
      <c r="C17" s="8" t="s">
        <v>332</v>
      </c>
      <c r="D17" s="8" t="s">
        <v>302</v>
      </c>
      <c r="E17" s="8" t="s">
        <v>373</v>
      </c>
      <c r="F17" s="8" t="s">
        <v>334</v>
      </c>
      <c r="G17" s="8" t="s">
        <v>368</v>
      </c>
      <c r="H17" s="8" t="s">
        <v>131</v>
      </c>
    </row>
    <row r="18" spans="1:8" ht="18" customHeight="1" x14ac:dyDescent="0.2">
      <c r="A18" s="9" t="s">
        <v>366</v>
      </c>
      <c r="B18" s="9" t="s">
        <v>172</v>
      </c>
      <c r="C18" s="9" t="s">
        <v>332</v>
      </c>
      <c r="D18" s="9" t="s">
        <v>302</v>
      </c>
      <c r="E18" s="9" t="s">
        <v>369</v>
      </c>
      <c r="F18" s="9" t="s">
        <v>334</v>
      </c>
      <c r="G18" s="9" t="s">
        <v>368</v>
      </c>
      <c r="H18" s="9" t="s">
        <v>131</v>
      </c>
    </row>
    <row r="19" spans="1:8" ht="18" customHeight="1" x14ac:dyDescent="0.2">
      <c r="A19" s="8" t="s">
        <v>366</v>
      </c>
      <c r="B19" s="8" t="s">
        <v>161</v>
      </c>
      <c r="C19" s="8" t="s">
        <v>332</v>
      </c>
      <c r="D19" s="8" t="s">
        <v>302</v>
      </c>
      <c r="E19" s="8" t="s">
        <v>367</v>
      </c>
      <c r="F19" s="8" t="s">
        <v>334</v>
      </c>
      <c r="G19" s="8" t="s">
        <v>368</v>
      </c>
      <c r="H19" s="8" t="s">
        <v>131</v>
      </c>
    </row>
    <row r="20" spans="1:8" ht="18" customHeight="1" x14ac:dyDescent="0.2">
      <c r="A20" s="9" t="s">
        <v>366</v>
      </c>
      <c r="B20" s="9" t="s">
        <v>124</v>
      </c>
      <c r="C20" s="9" t="s">
        <v>332</v>
      </c>
      <c r="D20" s="9" t="s">
        <v>302</v>
      </c>
      <c r="E20" s="9" t="s">
        <v>367</v>
      </c>
      <c r="F20" s="9" t="s">
        <v>334</v>
      </c>
      <c r="G20" s="9" t="s">
        <v>368</v>
      </c>
      <c r="H20" s="9" t="s">
        <v>131</v>
      </c>
    </row>
    <row r="21" spans="1:8" ht="18" customHeight="1" x14ac:dyDescent="0.2">
      <c r="A21" s="8" t="s">
        <v>366</v>
      </c>
      <c r="B21" s="8" t="s">
        <v>155</v>
      </c>
      <c r="C21" s="8" t="s">
        <v>332</v>
      </c>
      <c r="D21" s="8" t="s">
        <v>302</v>
      </c>
      <c r="E21" s="8" t="s">
        <v>371</v>
      </c>
      <c r="F21" s="8" t="s">
        <v>334</v>
      </c>
      <c r="G21" s="8" t="s">
        <v>368</v>
      </c>
      <c r="H21" s="8" t="s">
        <v>131</v>
      </c>
    </row>
    <row r="22" spans="1:8" ht="18" customHeight="1" x14ac:dyDescent="0.2">
      <c r="A22" s="9" t="s">
        <v>374</v>
      </c>
      <c r="B22" s="9" t="s">
        <v>208</v>
      </c>
      <c r="C22" s="9" t="s">
        <v>342</v>
      </c>
      <c r="D22" s="9" t="s">
        <v>302</v>
      </c>
      <c r="E22" s="9" t="s">
        <v>343</v>
      </c>
      <c r="F22" s="9" t="s">
        <v>334</v>
      </c>
      <c r="G22" s="9" t="s">
        <v>363</v>
      </c>
      <c r="H22" s="9" t="s">
        <v>131</v>
      </c>
    </row>
    <row r="23" spans="1:8" ht="18" customHeight="1" x14ac:dyDescent="0.2">
      <c r="A23" s="8" t="s">
        <v>375</v>
      </c>
      <c r="B23" s="8" t="s">
        <v>208</v>
      </c>
      <c r="C23" s="8" t="s">
        <v>347</v>
      </c>
      <c r="D23" s="8" t="s">
        <v>302</v>
      </c>
      <c r="E23" s="8" t="s">
        <v>348</v>
      </c>
      <c r="F23" s="8" t="s">
        <v>334</v>
      </c>
      <c r="G23" s="8" t="s">
        <v>363</v>
      </c>
      <c r="H23" s="8" t="s">
        <v>131</v>
      </c>
    </row>
    <row r="24" spans="1:8" ht="18" customHeight="1" x14ac:dyDescent="0.2">
      <c r="A24" s="9" t="s">
        <v>376</v>
      </c>
      <c r="B24" s="9" t="s">
        <v>208</v>
      </c>
      <c r="C24" s="9" t="s">
        <v>350</v>
      </c>
      <c r="D24" s="9" t="s">
        <v>302</v>
      </c>
      <c r="E24" s="9" t="s">
        <v>351</v>
      </c>
      <c r="F24" s="9" t="s">
        <v>334</v>
      </c>
      <c r="G24" s="9" t="s">
        <v>363</v>
      </c>
      <c r="H24" s="9" t="s">
        <v>131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5007A"/>
  </sheetPr>
  <dimension ref="A1:O25"/>
  <sheetViews>
    <sheetView showGridLines="0" zoomScaleNormal="100" workbookViewId="0">
      <selection sqref="A1:O1"/>
    </sheetView>
  </sheetViews>
  <sheetFormatPr baseColWidth="10" defaultColWidth="8.6640625" defaultRowHeight="15" x14ac:dyDescent="0.2"/>
  <cols>
    <col min="1" max="1" width="18" customWidth="1"/>
    <col min="2" max="2" width="12" customWidth="1"/>
    <col min="3" max="3" width="20" customWidth="1"/>
    <col min="4" max="6" width="18" customWidth="1"/>
    <col min="7" max="8" width="16" customWidth="1"/>
    <col min="9" max="9" width="38" customWidth="1"/>
    <col min="10" max="10" width="16" customWidth="1"/>
    <col min="11" max="14" width="14" customWidth="1"/>
    <col min="15" max="15" width="18" customWidth="1"/>
  </cols>
  <sheetData>
    <row r="1" spans="1:15" ht="31.5" customHeight="1" x14ac:dyDescent="0.2">
      <c r="A1" s="68" t="s">
        <v>377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</row>
    <row r="2" spans="1:15" ht="21.75" customHeight="1" x14ac:dyDescent="0.2">
      <c r="A2" s="67" t="s">
        <v>378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</row>
    <row r="3" spans="1:15" ht="27.75" customHeight="1" x14ac:dyDescent="0.2">
      <c r="A3" s="10" t="s">
        <v>379</v>
      </c>
      <c r="B3" s="10" t="s">
        <v>380</v>
      </c>
      <c r="C3" s="10" t="s">
        <v>381</v>
      </c>
      <c r="D3" s="10" t="s">
        <v>382</v>
      </c>
      <c r="E3" s="10" t="s">
        <v>383</v>
      </c>
      <c r="F3" s="10" t="s">
        <v>384</v>
      </c>
      <c r="G3" s="10" t="s">
        <v>385</v>
      </c>
      <c r="H3" s="10" t="s">
        <v>386</v>
      </c>
      <c r="I3" s="10" t="s">
        <v>387</v>
      </c>
      <c r="J3" s="10" t="s">
        <v>388</v>
      </c>
      <c r="K3" s="10" t="s">
        <v>389</v>
      </c>
      <c r="L3" s="10" t="s">
        <v>390</v>
      </c>
      <c r="M3" s="10" t="s">
        <v>391</v>
      </c>
      <c r="N3" s="10" t="s">
        <v>392</v>
      </c>
      <c r="O3" s="10" t="s">
        <v>393</v>
      </c>
    </row>
    <row r="4" spans="1:15" ht="18" customHeight="1" x14ac:dyDescent="0.2">
      <c r="A4" s="9" t="s">
        <v>361</v>
      </c>
      <c r="B4" s="9" t="s">
        <v>208</v>
      </c>
      <c r="C4" s="11" t="s">
        <v>394</v>
      </c>
      <c r="D4" s="9" t="s">
        <v>395</v>
      </c>
      <c r="E4" s="9">
        <v>20</v>
      </c>
      <c r="F4" s="9">
        <v>14.4</v>
      </c>
      <c r="G4" s="9"/>
      <c r="H4" s="9"/>
      <c r="I4" s="9" t="s">
        <v>396</v>
      </c>
      <c r="J4" s="9" t="s">
        <v>130</v>
      </c>
      <c r="K4" s="9"/>
      <c r="L4" s="9"/>
      <c r="M4" s="9"/>
      <c r="N4" s="9" t="s">
        <v>397</v>
      </c>
      <c r="O4" s="9"/>
    </row>
    <row r="5" spans="1:15" ht="18" customHeight="1" x14ac:dyDescent="0.2">
      <c r="A5" s="8" t="s">
        <v>361</v>
      </c>
      <c r="B5" s="8" t="s">
        <v>208</v>
      </c>
      <c r="C5" s="12" t="s">
        <v>398</v>
      </c>
      <c r="D5" s="8" t="s">
        <v>395</v>
      </c>
      <c r="E5" s="8">
        <v>20</v>
      </c>
      <c r="F5" s="13">
        <v>20</v>
      </c>
      <c r="G5" s="8"/>
      <c r="H5" s="8"/>
      <c r="I5" s="8" t="s">
        <v>399</v>
      </c>
      <c r="J5" s="8" t="s">
        <v>130</v>
      </c>
      <c r="K5" s="8"/>
      <c r="L5" s="8"/>
      <c r="M5" s="8"/>
      <c r="N5" s="8" t="s">
        <v>400</v>
      </c>
      <c r="O5" s="8"/>
    </row>
    <row r="6" spans="1:15" ht="18" customHeight="1" x14ac:dyDescent="0.2">
      <c r="A6" s="9" t="s">
        <v>361</v>
      </c>
      <c r="B6" s="9" t="s">
        <v>208</v>
      </c>
      <c r="C6" s="14" t="s">
        <v>401</v>
      </c>
      <c r="D6" s="9" t="s">
        <v>395</v>
      </c>
      <c r="E6" s="9">
        <v>20</v>
      </c>
      <c r="F6" s="9">
        <v>0</v>
      </c>
      <c r="G6" s="9"/>
      <c r="H6" s="9"/>
      <c r="I6" s="9" t="s">
        <v>402</v>
      </c>
      <c r="J6" s="9" t="s">
        <v>130</v>
      </c>
      <c r="K6" s="9">
        <v>10000000</v>
      </c>
      <c r="L6" s="9"/>
      <c r="M6" s="9"/>
      <c r="N6" s="9" t="s">
        <v>397</v>
      </c>
      <c r="O6" s="9"/>
    </row>
    <row r="7" spans="1:15" ht="18" customHeight="1" x14ac:dyDescent="0.2">
      <c r="A7" s="8" t="s">
        <v>361</v>
      </c>
      <c r="B7" s="8" t="s">
        <v>208</v>
      </c>
      <c r="C7" s="15" t="s">
        <v>403</v>
      </c>
      <c r="D7" s="8" t="s">
        <v>395</v>
      </c>
      <c r="E7" s="8">
        <v>20</v>
      </c>
      <c r="F7" s="8">
        <v>14.4</v>
      </c>
      <c r="G7" s="8"/>
      <c r="H7" s="8"/>
      <c r="I7" s="8" t="s">
        <v>404</v>
      </c>
      <c r="J7" s="8" t="s">
        <v>130</v>
      </c>
      <c r="K7" s="8"/>
      <c r="L7" s="8"/>
      <c r="M7" s="8"/>
      <c r="N7" s="8" t="s">
        <v>397</v>
      </c>
      <c r="O7" s="8"/>
    </row>
    <row r="8" spans="1:15" ht="18" customHeight="1" x14ac:dyDescent="0.2">
      <c r="A8" s="9" t="s">
        <v>366</v>
      </c>
      <c r="B8" s="9" t="s">
        <v>139</v>
      </c>
      <c r="C8" s="11" t="s">
        <v>394</v>
      </c>
      <c r="D8" s="9" t="s">
        <v>395</v>
      </c>
      <c r="E8" s="9">
        <v>10</v>
      </c>
      <c r="F8" s="9">
        <v>5</v>
      </c>
      <c r="G8" s="9"/>
      <c r="H8" s="9"/>
      <c r="I8" s="9" t="s">
        <v>405</v>
      </c>
      <c r="J8" s="9" t="s">
        <v>138</v>
      </c>
      <c r="K8" s="9"/>
      <c r="L8" s="9"/>
      <c r="M8" s="9"/>
      <c r="N8" s="9" t="s">
        <v>406</v>
      </c>
      <c r="O8" s="9"/>
    </row>
    <row r="9" spans="1:15" ht="18" customHeight="1" x14ac:dyDescent="0.2">
      <c r="A9" s="8" t="s">
        <v>366</v>
      </c>
      <c r="B9" s="8" t="s">
        <v>198</v>
      </c>
      <c r="C9" s="16" t="s">
        <v>394</v>
      </c>
      <c r="D9" s="8" t="s">
        <v>395</v>
      </c>
      <c r="E9" s="8">
        <v>50</v>
      </c>
      <c r="F9" s="13">
        <v>30</v>
      </c>
      <c r="G9" s="8"/>
      <c r="H9" s="8"/>
      <c r="I9" s="8" t="s">
        <v>407</v>
      </c>
      <c r="J9" s="8" t="s">
        <v>130</v>
      </c>
      <c r="K9" s="8"/>
      <c r="L9" s="8"/>
      <c r="M9" s="8"/>
      <c r="N9" s="8" t="s">
        <v>408</v>
      </c>
      <c r="O9" s="8"/>
    </row>
    <row r="10" spans="1:15" ht="18" customHeight="1" x14ac:dyDescent="0.2">
      <c r="A10" s="9" t="s">
        <v>366</v>
      </c>
      <c r="B10" s="9" t="s">
        <v>198</v>
      </c>
      <c r="C10" s="17" t="s">
        <v>398</v>
      </c>
      <c r="D10" s="9" t="s">
        <v>395</v>
      </c>
      <c r="E10" s="9">
        <v>50</v>
      </c>
      <c r="F10" s="18">
        <v>50</v>
      </c>
      <c r="G10" s="9"/>
      <c r="H10" s="9"/>
      <c r="I10" s="9" t="s">
        <v>409</v>
      </c>
      <c r="J10" s="9" t="s">
        <v>130</v>
      </c>
      <c r="K10" s="9"/>
      <c r="L10" s="9"/>
      <c r="M10" s="9"/>
      <c r="N10" s="9" t="s">
        <v>410</v>
      </c>
      <c r="O10" s="9"/>
    </row>
    <row r="11" spans="1:15" ht="18" customHeight="1" x14ac:dyDescent="0.2">
      <c r="A11" s="8" t="s">
        <v>366</v>
      </c>
      <c r="B11" s="8" t="s">
        <v>193</v>
      </c>
      <c r="C11" s="16" t="s">
        <v>394</v>
      </c>
      <c r="D11" s="8" t="s">
        <v>411</v>
      </c>
      <c r="E11" s="8">
        <v>30</v>
      </c>
      <c r="F11" s="13">
        <v>20.77</v>
      </c>
      <c r="G11" s="8">
        <v>0.1</v>
      </c>
      <c r="H11" s="8" t="s">
        <v>412</v>
      </c>
      <c r="I11" s="8" t="s">
        <v>413</v>
      </c>
      <c r="J11" s="8" t="s">
        <v>138</v>
      </c>
      <c r="K11" s="8"/>
      <c r="L11" s="8"/>
      <c r="M11" s="8"/>
      <c r="N11" s="8" t="s">
        <v>406</v>
      </c>
      <c r="O11" s="8"/>
    </row>
    <row r="12" spans="1:15" ht="18" customHeight="1" x14ac:dyDescent="0.2">
      <c r="A12" s="9" t="s">
        <v>366</v>
      </c>
      <c r="B12" s="9" t="s">
        <v>145</v>
      </c>
      <c r="C12" s="11" t="s">
        <v>394</v>
      </c>
      <c r="D12" s="9" t="s">
        <v>395</v>
      </c>
      <c r="E12" s="9">
        <v>16</v>
      </c>
      <c r="F12" s="9">
        <v>16</v>
      </c>
      <c r="G12" s="9"/>
      <c r="H12" s="9"/>
      <c r="I12" s="9" t="s">
        <v>414</v>
      </c>
      <c r="J12" s="9" t="s">
        <v>138</v>
      </c>
      <c r="K12" s="9"/>
      <c r="L12" s="9"/>
      <c r="M12" s="9"/>
      <c r="N12" s="9" t="s">
        <v>406</v>
      </c>
      <c r="O12" s="9"/>
    </row>
    <row r="13" spans="1:15" ht="18" customHeight="1" x14ac:dyDescent="0.2">
      <c r="A13" s="8" t="s">
        <v>366</v>
      </c>
      <c r="B13" s="8" t="s">
        <v>203</v>
      </c>
      <c r="C13" s="16" t="s">
        <v>394</v>
      </c>
      <c r="D13" s="8" t="s">
        <v>395</v>
      </c>
      <c r="E13" s="8">
        <v>5</v>
      </c>
      <c r="F13" s="8">
        <v>5</v>
      </c>
      <c r="G13" s="8"/>
      <c r="H13" s="8"/>
      <c r="I13" s="8" t="s">
        <v>415</v>
      </c>
      <c r="J13" s="8" t="s">
        <v>130</v>
      </c>
      <c r="K13" s="8"/>
      <c r="L13" s="8"/>
      <c r="M13" s="8"/>
      <c r="N13" s="8" t="s">
        <v>416</v>
      </c>
      <c r="O13" s="8"/>
    </row>
    <row r="14" spans="1:15" ht="18" customHeight="1" x14ac:dyDescent="0.2">
      <c r="A14" s="9" t="s">
        <v>366</v>
      </c>
      <c r="B14" s="9" t="s">
        <v>188</v>
      </c>
      <c r="C14" s="11" t="s">
        <v>394</v>
      </c>
      <c r="D14" s="9" t="s">
        <v>395</v>
      </c>
      <c r="E14" s="9">
        <v>5</v>
      </c>
      <c r="F14" s="9">
        <v>5</v>
      </c>
      <c r="G14" s="9"/>
      <c r="H14" s="9"/>
      <c r="I14" s="9" t="s">
        <v>415</v>
      </c>
      <c r="J14" s="9" t="s">
        <v>130</v>
      </c>
      <c r="K14" s="9"/>
      <c r="L14" s="9"/>
      <c r="M14" s="9"/>
      <c r="N14" s="9" t="s">
        <v>416</v>
      </c>
      <c r="O14" s="9"/>
    </row>
    <row r="15" spans="1:15" ht="18" customHeight="1" x14ac:dyDescent="0.2">
      <c r="A15" s="8" t="s">
        <v>366</v>
      </c>
      <c r="B15" s="8" t="s">
        <v>177</v>
      </c>
      <c r="C15" s="16" t="s">
        <v>394</v>
      </c>
      <c r="D15" s="8" t="s">
        <v>395</v>
      </c>
      <c r="E15" s="8">
        <v>5</v>
      </c>
      <c r="F15" s="8">
        <v>5</v>
      </c>
      <c r="G15" s="8"/>
      <c r="H15" s="8"/>
      <c r="I15" s="8" t="s">
        <v>415</v>
      </c>
      <c r="J15" s="8" t="s">
        <v>130</v>
      </c>
      <c r="K15" s="8"/>
      <c r="L15" s="8"/>
      <c r="M15" s="8"/>
      <c r="N15" s="8" t="s">
        <v>416</v>
      </c>
      <c r="O15" s="8"/>
    </row>
    <row r="16" spans="1:15" ht="18" customHeight="1" x14ac:dyDescent="0.2">
      <c r="A16" s="9" t="s">
        <v>366</v>
      </c>
      <c r="B16" s="9" t="s">
        <v>183</v>
      </c>
      <c r="C16" s="11" t="s">
        <v>394</v>
      </c>
      <c r="D16" s="9" t="s">
        <v>395</v>
      </c>
      <c r="E16" s="9">
        <v>30</v>
      </c>
      <c r="F16" s="18">
        <v>30</v>
      </c>
      <c r="G16" s="9"/>
      <c r="H16" s="9"/>
      <c r="I16" s="9" t="s">
        <v>407</v>
      </c>
      <c r="J16" s="9" t="s">
        <v>130</v>
      </c>
      <c r="K16" s="9"/>
      <c r="L16" s="9"/>
      <c r="M16" s="9"/>
      <c r="N16" s="9" t="s">
        <v>406</v>
      </c>
      <c r="O16" s="9"/>
    </row>
    <row r="17" spans="1:15" ht="18" customHeight="1" x14ac:dyDescent="0.2">
      <c r="A17" s="8" t="s">
        <v>366</v>
      </c>
      <c r="B17" s="8" t="s">
        <v>161</v>
      </c>
      <c r="C17" s="16" t="s">
        <v>394</v>
      </c>
      <c r="D17" s="8" t="s">
        <v>395</v>
      </c>
      <c r="E17" s="8">
        <v>30</v>
      </c>
      <c r="F17" s="13">
        <v>30</v>
      </c>
      <c r="G17" s="8"/>
      <c r="H17" s="8"/>
      <c r="I17" s="8" t="s">
        <v>417</v>
      </c>
      <c r="J17" s="8" t="s">
        <v>130</v>
      </c>
      <c r="K17" s="8"/>
      <c r="L17" s="8"/>
      <c r="M17" s="8"/>
      <c r="N17" s="8" t="s">
        <v>418</v>
      </c>
      <c r="O17" s="8"/>
    </row>
    <row r="18" spans="1:15" ht="18" customHeight="1" x14ac:dyDescent="0.2">
      <c r="A18" s="9" t="s">
        <v>366</v>
      </c>
      <c r="B18" s="9" t="s">
        <v>166</v>
      </c>
      <c r="C18" s="11" t="s">
        <v>394</v>
      </c>
      <c r="D18" s="9" t="s">
        <v>395</v>
      </c>
      <c r="E18" s="9">
        <v>20</v>
      </c>
      <c r="F18" s="18">
        <v>20</v>
      </c>
      <c r="G18" s="9"/>
      <c r="H18" s="9"/>
      <c r="I18" s="9" t="s">
        <v>419</v>
      </c>
      <c r="J18" s="9" t="s">
        <v>138</v>
      </c>
      <c r="K18" s="9"/>
      <c r="L18" s="9"/>
      <c r="M18" s="9"/>
      <c r="N18" s="9" t="s">
        <v>406</v>
      </c>
      <c r="O18" s="9"/>
    </row>
    <row r="19" spans="1:15" ht="18" customHeight="1" x14ac:dyDescent="0.2">
      <c r="A19" s="8" t="s">
        <v>366</v>
      </c>
      <c r="B19" s="8" t="s">
        <v>132</v>
      </c>
      <c r="C19" s="16" t="s">
        <v>394</v>
      </c>
      <c r="D19" s="8" t="s">
        <v>395</v>
      </c>
      <c r="E19" s="8">
        <v>14</v>
      </c>
      <c r="F19" s="8">
        <v>14</v>
      </c>
      <c r="G19" s="8"/>
      <c r="H19" s="8"/>
      <c r="I19" s="8" t="s">
        <v>420</v>
      </c>
      <c r="J19" s="8" t="s">
        <v>138</v>
      </c>
      <c r="K19" s="8"/>
      <c r="L19" s="8"/>
      <c r="M19" s="8"/>
      <c r="N19" s="8" t="s">
        <v>406</v>
      </c>
      <c r="O19" s="8"/>
    </row>
    <row r="20" spans="1:15" ht="18" customHeight="1" x14ac:dyDescent="0.2">
      <c r="A20" s="9" t="s">
        <v>366</v>
      </c>
      <c r="B20" s="9" t="s">
        <v>150</v>
      </c>
      <c r="C20" s="11" t="s">
        <v>394</v>
      </c>
      <c r="D20" s="9" t="s">
        <v>395</v>
      </c>
      <c r="E20" s="9">
        <v>6</v>
      </c>
      <c r="F20" s="9">
        <v>6</v>
      </c>
      <c r="G20" s="9"/>
      <c r="H20" s="9"/>
      <c r="I20" s="9" t="s">
        <v>421</v>
      </c>
      <c r="J20" s="9" t="s">
        <v>130</v>
      </c>
      <c r="K20" s="9"/>
      <c r="L20" s="9"/>
      <c r="M20" s="9"/>
      <c r="N20" s="9" t="s">
        <v>406</v>
      </c>
      <c r="O20" s="9"/>
    </row>
    <row r="21" spans="1:15" ht="18" customHeight="1" x14ac:dyDescent="0.2">
      <c r="A21" s="8" t="s">
        <v>366</v>
      </c>
      <c r="B21" s="8" t="s">
        <v>214</v>
      </c>
      <c r="C21" s="16" t="s">
        <v>394</v>
      </c>
      <c r="D21" s="8" t="s">
        <v>395</v>
      </c>
      <c r="E21" s="8">
        <v>14</v>
      </c>
      <c r="F21" s="8">
        <v>14</v>
      </c>
      <c r="G21" s="8"/>
      <c r="H21" s="8"/>
      <c r="I21" s="8" t="s">
        <v>420</v>
      </c>
      <c r="J21" s="8" t="s">
        <v>138</v>
      </c>
      <c r="K21" s="8"/>
      <c r="L21" s="8"/>
      <c r="M21" s="8"/>
      <c r="N21" s="8" t="s">
        <v>406</v>
      </c>
      <c r="O21" s="8"/>
    </row>
    <row r="22" spans="1:15" ht="18" customHeight="1" x14ac:dyDescent="0.2">
      <c r="A22" s="9" t="s">
        <v>366</v>
      </c>
      <c r="B22" s="9" t="s">
        <v>172</v>
      </c>
      <c r="C22" s="11" t="s">
        <v>394</v>
      </c>
      <c r="D22" s="9" t="s">
        <v>411</v>
      </c>
      <c r="E22" s="9">
        <v>30</v>
      </c>
      <c r="F22" s="18">
        <v>20.77</v>
      </c>
      <c r="G22" s="9">
        <v>0.1</v>
      </c>
      <c r="H22" s="9" t="s">
        <v>422</v>
      </c>
      <c r="I22" s="9" t="s">
        <v>423</v>
      </c>
      <c r="J22" s="9" t="s">
        <v>138</v>
      </c>
      <c r="K22" s="9"/>
      <c r="L22" s="9"/>
      <c r="M22" s="9"/>
      <c r="N22" s="9" t="s">
        <v>406</v>
      </c>
      <c r="O22" s="9"/>
    </row>
    <row r="23" spans="1:15" ht="18" customHeight="1" x14ac:dyDescent="0.2">
      <c r="A23" s="8" t="s">
        <v>366</v>
      </c>
      <c r="B23" s="8" t="s">
        <v>155</v>
      </c>
      <c r="C23" s="16" t="s">
        <v>394</v>
      </c>
      <c r="D23" s="8" t="s">
        <v>395</v>
      </c>
      <c r="E23" s="8">
        <v>20</v>
      </c>
      <c r="F23" s="13">
        <v>20</v>
      </c>
      <c r="G23" s="8"/>
      <c r="H23" s="8"/>
      <c r="I23" s="8" t="s">
        <v>424</v>
      </c>
      <c r="J23" s="8" t="s">
        <v>130</v>
      </c>
      <c r="K23" s="8"/>
      <c r="L23" s="8"/>
      <c r="M23" s="8"/>
      <c r="N23" s="8" t="s">
        <v>406</v>
      </c>
      <c r="O23" s="8"/>
    </row>
    <row r="24" spans="1:15" ht="18" customHeight="1" x14ac:dyDescent="0.2">
      <c r="A24" s="9" t="s">
        <v>366</v>
      </c>
      <c r="B24" s="9" t="s">
        <v>124</v>
      </c>
      <c r="C24" s="11" t="s">
        <v>394</v>
      </c>
      <c r="D24" s="9" t="s">
        <v>395</v>
      </c>
      <c r="E24" s="9">
        <v>20</v>
      </c>
      <c r="F24" s="18">
        <v>20</v>
      </c>
      <c r="G24" s="9"/>
      <c r="H24" s="9"/>
      <c r="I24" s="9" t="s">
        <v>424</v>
      </c>
      <c r="J24" s="9" t="s">
        <v>130</v>
      </c>
      <c r="K24" s="9"/>
      <c r="L24" s="9"/>
      <c r="M24" s="9"/>
      <c r="N24" s="9" t="s">
        <v>406</v>
      </c>
      <c r="O24" s="9"/>
    </row>
    <row r="25" spans="1:15" ht="18" customHeight="1" x14ac:dyDescent="0.2">
      <c r="A25" s="8" t="s">
        <v>374</v>
      </c>
      <c r="B25" s="8" t="s">
        <v>208</v>
      </c>
      <c r="C25" s="16" t="s">
        <v>394</v>
      </c>
      <c r="D25" s="8" t="s">
        <v>395</v>
      </c>
      <c r="E25" s="8">
        <v>0</v>
      </c>
      <c r="F25" s="8">
        <v>0</v>
      </c>
      <c r="G25" s="8"/>
      <c r="H25" s="8"/>
      <c r="I25" s="8" t="s">
        <v>425</v>
      </c>
      <c r="J25" s="8" t="s">
        <v>130</v>
      </c>
      <c r="K25" s="8"/>
      <c r="L25" s="8"/>
      <c r="M25" s="8"/>
      <c r="N25" s="8" t="s">
        <v>426</v>
      </c>
      <c r="O25" s="8"/>
    </row>
  </sheetData>
  <mergeCells count="2">
    <mergeCell ref="A1:O1"/>
    <mergeCell ref="A2:O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5007A"/>
  </sheetPr>
  <dimension ref="A1:J23"/>
  <sheetViews>
    <sheetView showGridLines="0" zoomScaleNormal="100" workbookViewId="0">
      <selection sqref="A1:J1"/>
    </sheetView>
  </sheetViews>
  <sheetFormatPr baseColWidth="10" defaultColWidth="8.6640625" defaultRowHeight="15" x14ac:dyDescent="0.2"/>
  <cols>
    <col min="1" max="1" width="18" customWidth="1"/>
    <col min="2" max="2" width="12" customWidth="1"/>
    <col min="3" max="3" width="14" customWidth="1"/>
    <col min="4" max="4" width="20" customWidth="1"/>
    <col min="5" max="5" width="14" customWidth="1"/>
    <col min="6" max="6" width="35" customWidth="1"/>
    <col min="7" max="7" width="14" customWidth="1"/>
    <col min="8" max="8" width="18" customWidth="1"/>
    <col min="9" max="9" width="16" customWidth="1"/>
    <col min="10" max="10" width="55" customWidth="1"/>
  </cols>
  <sheetData>
    <row r="1" spans="1:10" ht="31.5" customHeight="1" x14ac:dyDescent="0.2">
      <c r="A1" s="68" t="s">
        <v>427</v>
      </c>
      <c r="B1" s="68"/>
      <c r="C1" s="68"/>
      <c r="D1" s="68"/>
      <c r="E1" s="68"/>
      <c r="F1" s="68"/>
      <c r="G1" s="68"/>
      <c r="H1" s="68"/>
      <c r="I1" s="68"/>
      <c r="J1" s="68"/>
    </row>
    <row r="2" spans="1:10" ht="21.75" customHeight="1" x14ac:dyDescent="0.2">
      <c r="A2" s="67" t="s">
        <v>428</v>
      </c>
      <c r="B2" s="67"/>
      <c r="C2" s="67"/>
      <c r="D2" s="67"/>
      <c r="E2" s="67"/>
      <c r="F2" s="67"/>
      <c r="G2" s="67"/>
      <c r="H2" s="67"/>
      <c r="I2" s="67"/>
      <c r="J2" s="67"/>
    </row>
    <row r="3" spans="1:10" ht="27.75" customHeight="1" x14ac:dyDescent="0.2">
      <c r="A3" s="10" t="s">
        <v>379</v>
      </c>
      <c r="B3" s="10" t="s">
        <v>380</v>
      </c>
      <c r="C3" s="10" t="s">
        <v>429</v>
      </c>
      <c r="D3" s="10" t="s">
        <v>430</v>
      </c>
      <c r="E3" s="10" t="s">
        <v>388</v>
      </c>
      <c r="F3" s="10" t="s">
        <v>387</v>
      </c>
      <c r="G3" s="10" t="s">
        <v>392</v>
      </c>
      <c r="H3" s="10" t="s">
        <v>393</v>
      </c>
      <c r="I3" s="10" t="s">
        <v>431</v>
      </c>
      <c r="J3" s="10" t="s">
        <v>432</v>
      </c>
    </row>
    <row r="4" spans="1:10" ht="18" customHeight="1" x14ac:dyDescent="0.2">
      <c r="A4" s="9" t="s">
        <v>361</v>
      </c>
      <c r="B4" s="9" t="s">
        <v>208</v>
      </c>
      <c r="C4" s="9" t="s">
        <v>332</v>
      </c>
      <c r="D4" s="9">
        <v>14.4</v>
      </c>
      <c r="E4" s="9" t="s">
        <v>130</v>
      </c>
      <c r="F4" s="9" t="s">
        <v>396</v>
      </c>
      <c r="G4" s="9" t="s">
        <v>397</v>
      </c>
      <c r="H4" s="9"/>
      <c r="I4" s="9" t="s">
        <v>433</v>
      </c>
      <c r="J4" s="19" t="s">
        <v>434</v>
      </c>
    </row>
    <row r="5" spans="1:10" ht="18" customHeight="1" x14ac:dyDescent="0.2">
      <c r="A5" s="8" t="s">
        <v>366</v>
      </c>
      <c r="B5" s="8" t="s">
        <v>139</v>
      </c>
      <c r="C5" s="8" t="s">
        <v>332</v>
      </c>
      <c r="D5" s="16">
        <v>5</v>
      </c>
      <c r="E5" s="8" t="s">
        <v>138</v>
      </c>
      <c r="F5" s="8" t="s">
        <v>405</v>
      </c>
      <c r="G5" s="8" t="s">
        <v>406</v>
      </c>
      <c r="H5" s="8"/>
      <c r="I5" s="8" t="s">
        <v>435</v>
      </c>
      <c r="J5" s="20" t="s">
        <v>436</v>
      </c>
    </row>
    <row r="6" spans="1:10" ht="18" customHeight="1" x14ac:dyDescent="0.2">
      <c r="A6" s="9" t="s">
        <v>366</v>
      </c>
      <c r="B6" s="9" t="s">
        <v>198</v>
      </c>
      <c r="C6" s="9" t="s">
        <v>332</v>
      </c>
      <c r="D6" s="18">
        <v>30</v>
      </c>
      <c r="E6" s="9" t="s">
        <v>130</v>
      </c>
      <c r="F6" s="9" t="s">
        <v>407</v>
      </c>
      <c r="G6" s="9" t="s">
        <v>408</v>
      </c>
      <c r="H6" s="9"/>
      <c r="I6" s="9" t="s">
        <v>437</v>
      </c>
      <c r="J6" s="19" t="s">
        <v>438</v>
      </c>
    </row>
    <row r="7" spans="1:10" ht="18" customHeight="1" x14ac:dyDescent="0.2">
      <c r="A7" s="8" t="s">
        <v>366</v>
      </c>
      <c r="B7" s="8" t="s">
        <v>193</v>
      </c>
      <c r="C7" s="8" t="s">
        <v>332</v>
      </c>
      <c r="D7" s="13">
        <v>20.77</v>
      </c>
      <c r="E7" s="8" t="s">
        <v>138</v>
      </c>
      <c r="F7" s="8" t="s">
        <v>413</v>
      </c>
      <c r="G7" s="8" t="s">
        <v>406</v>
      </c>
      <c r="H7" s="8"/>
      <c r="I7" s="8" t="s">
        <v>439</v>
      </c>
      <c r="J7" s="20" t="s">
        <v>440</v>
      </c>
    </row>
    <row r="8" spans="1:10" ht="18" customHeight="1" x14ac:dyDescent="0.2">
      <c r="A8" s="9" t="s">
        <v>366</v>
      </c>
      <c r="B8" s="9" t="s">
        <v>145</v>
      </c>
      <c r="C8" s="9" t="s">
        <v>332</v>
      </c>
      <c r="D8" s="9">
        <v>16</v>
      </c>
      <c r="E8" s="9" t="s">
        <v>138</v>
      </c>
      <c r="F8" s="9" t="s">
        <v>441</v>
      </c>
      <c r="G8" s="9" t="s">
        <v>406</v>
      </c>
      <c r="H8" s="9"/>
      <c r="I8" s="9" t="s">
        <v>442</v>
      </c>
      <c r="J8" s="19" t="s">
        <v>443</v>
      </c>
    </row>
    <row r="9" spans="1:10" ht="18" customHeight="1" x14ac:dyDescent="0.2">
      <c r="A9" s="8" t="s">
        <v>366</v>
      </c>
      <c r="B9" s="8" t="s">
        <v>166</v>
      </c>
      <c r="C9" s="8" t="s">
        <v>332</v>
      </c>
      <c r="D9" s="13">
        <v>20</v>
      </c>
      <c r="E9" s="8" t="s">
        <v>138</v>
      </c>
      <c r="F9" s="8" t="s">
        <v>419</v>
      </c>
      <c r="G9" s="8" t="s">
        <v>406</v>
      </c>
      <c r="H9" s="8"/>
      <c r="I9" s="8" t="s">
        <v>444</v>
      </c>
      <c r="J9" s="20" t="s">
        <v>445</v>
      </c>
    </row>
    <row r="10" spans="1:10" ht="18" customHeight="1" x14ac:dyDescent="0.2">
      <c r="A10" s="9" t="s">
        <v>366</v>
      </c>
      <c r="B10" s="9" t="s">
        <v>203</v>
      </c>
      <c r="C10" s="9" t="s">
        <v>332</v>
      </c>
      <c r="D10" s="11">
        <v>5</v>
      </c>
      <c r="E10" s="9" t="s">
        <v>130</v>
      </c>
      <c r="F10" s="9" t="s">
        <v>415</v>
      </c>
      <c r="G10" s="9" t="s">
        <v>416</v>
      </c>
      <c r="H10" s="9"/>
      <c r="I10" s="9" t="s">
        <v>406</v>
      </c>
      <c r="J10" s="19" t="s">
        <v>446</v>
      </c>
    </row>
    <row r="11" spans="1:10" ht="18" customHeight="1" x14ac:dyDescent="0.2">
      <c r="A11" s="8" t="s">
        <v>366</v>
      </c>
      <c r="B11" s="8" t="s">
        <v>188</v>
      </c>
      <c r="C11" s="8" t="s">
        <v>332</v>
      </c>
      <c r="D11" s="16">
        <v>5</v>
      </c>
      <c r="E11" s="8" t="s">
        <v>130</v>
      </c>
      <c r="F11" s="8" t="s">
        <v>415</v>
      </c>
      <c r="G11" s="8" t="s">
        <v>447</v>
      </c>
      <c r="H11" s="8"/>
      <c r="I11" s="8" t="s">
        <v>406</v>
      </c>
      <c r="J11" s="20" t="s">
        <v>448</v>
      </c>
    </row>
    <row r="12" spans="1:10" ht="18" customHeight="1" x14ac:dyDescent="0.2">
      <c r="A12" s="9" t="s">
        <v>366</v>
      </c>
      <c r="B12" s="9" t="s">
        <v>177</v>
      </c>
      <c r="C12" s="9" t="s">
        <v>332</v>
      </c>
      <c r="D12" s="11">
        <v>5</v>
      </c>
      <c r="E12" s="9" t="s">
        <v>130</v>
      </c>
      <c r="F12" s="9" t="s">
        <v>415</v>
      </c>
      <c r="G12" s="9" t="s">
        <v>449</v>
      </c>
      <c r="H12" s="9"/>
      <c r="I12" s="9" t="s">
        <v>406</v>
      </c>
      <c r="J12" s="19" t="s">
        <v>450</v>
      </c>
    </row>
    <row r="13" spans="1:10" ht="18" customHeight="1" x14ac:dyDescent="0.2">
      <c r="A13" s="8" t="s">
        <v>366</v>
      </c>
      <c r="B13" s="8" t="s">
        <v>183</v>
      </c>
      <c r="C13" s="8" t="s">
        <v>332</v>
      </c>
      <c r="D13" s="13">
        <v>30</v>
      </c>
      <c r="E13" s="8" t="s">
        <v>130</v>
      </c>
      <c r="F13" s="8" t="s">
        <v>407</v>
      </c>
      <c r="G13" s="8" t="s">
        <v>406</v>
      </c>
      <c r="H13" s="8"/>
      <c r="I13" s="8" t="s">
        <v>451</v>
      </c>
      <c r="J13" s="20" t="s">
        <v>452</v>
      </c>
    </row>
    <row r="14" spans="1:10" ht="18" customHeight="1" x14ac:dyDescent="0.2">
      <c r="A14" s="9" t="s">
        <v>366</v>
      </c>
      <c r="B14" s="9" t="s">
        <v>132</v>
      </c>
      <c r="C14" s="9" t="s">
        <v>332</v>
      </c>
      <c r="D14" s="9">
        <v>14</v>
      </c>
      <c r="E14" s="9" t="s">
        <v>138</v>
      </c>
      <c r="F14" s="9" t="s">
        <v>420</v>
      </c>
      <c r="G14" s="9" t="s">
        <v>406</v>
      </c>
      <c r="H14" s="9"/>
      <c r="I14" s="9" t="s">
        <v>453</v>
      </c>
      <c r="J14" s="19" t="s">
        <v>454</v>
      </c>
    </row>
    <row r="15" spans="1:10" ht="18" customHeight="1" x14ac:dyDescent="0.2">
      <c r="A15" s="8" t="s">
        <v>366</v>
      </c>
      <c r="B15" s="8" t="s">
        <v>150</v>
      </c>
      <c r="C15" s="8" t="s">
        <v>332</v>
      </c>
      <c r="D15" s="16">
        <v>6</v>
      </c>
      <c r="E15" s="8" t="s">
        <v>130</v>
      </c>
      <c r="F15" s="8" t="s">
        <v>421</v>
      </c>
      <c r="G15" s="8" t="s">
        <v>406</v>
      </c>
      <c r="H15" s="8"/>
      <c r="I15" s="8" t="s">
        <v>455</v>
      </c>
      <c r="J15" s="20" t="s">
        <v>456</v>
      </c>
    </row>
    <row r="16" spans="1:10" ht="18" customHeight="1" x14ac:dyDescent="0.2">
      <c r="A16" s="9" t="s">
        <v>366</v>
      </c>
      <c r="B16" s="9" t="s">
        <v>214</v>
      </c>
      <c r="C16" s="9" t="s">
        <v>332</v>
      </c>
      <c r="D16" s="9">
        <v>14</v>
      </c>
      <c r="E16" s="9" t="s">
        <v>138</v>
      </c>
      <c r="F16" s="9" t="s">
        <v>420</v>
      </c>
      <c r="G16" s="9" t="s">
        <v>406</v>
      </c>
      <c r="H16" s="9"/>
      <c r="I16" s="9" t="s">
        <v>457</v>
      </c>
      <c r="J16" s="19" t="s">
        <v>458</v>
      </c>
    </row>
    <row r="17" spans="1:10" ht="18" customHeight="1" x14ac:dyDescent="0.2">
      <c r="A17" s="8" t="s">
        <v>366</v>
      </c>
      <c r="B17" s="8" t="s">
        <v>172</v>
      </c>
      <c r="C17" s="8" t="s">
        <v>332</v>
      </c>
      <c r="D17" s="13">
        <v>20.77</v>
      </c>
      <c r="E17" s="8" t="s">
        <v>138</v>
      </c>
      <c r="F17" s="8" t="s">
        <v>423</v>
      </c>
      <c r="G17" s="8" t="s">
        <v>406</v>
      </c>
      <c r="H17" s="8"/>
      <c r="I17" s="8" t="s">
        <v>439</v>
      </c>
      <c r="J17" s="20" t="s">
        <v>459</v>
      </c>
    </row>
    <row r="18" spans="1:10" ht="18" customHeight="1" x14ac:dyDescent="0.2">
      <c r="A18" s="9" t="s">
        <v>366</v>
      </c>
      <c r="B18" s="9" t="s">
        <v>161</v>
      </c>
      <c r="C18" s="9" t="s">
        <v>332</v>
      </c>
      <c r="D18" s="18">
        <v>30</v>
      </c>
      <c r="E18" s="9" t="s">
        <v>130</v>
      </c>
      <c r="F18" s="9" t="s">
        <v>460</v>
      </c>
      <c r="G18" s="9" t="s">
        <v>418</v>
      </c>
      <c r="H18" s="9"/>
      <c r="I18" s="9" t="s">
        <v>461</v>
      </c>
      <c r="J18" s="19" t="s">
        <v>462</v>
      </c>
    </row>
    <row r="19" spans="1:10" ht="18" customHeight="1" x14ac:dyDescent="0.2">
      <c r="A19" s="8" t="s">
        <v>366</v>
      </c>
      <c r="B19" s="8" t="s">
        <v>124</v>
      </c>
      <c r="C19" s="8" t="s">
        <v>332</v>
      </c>
      <c r="D19" s="13">
        <v>20</v>
      </c>
      <c r="E19" s="8" t="s">
        <v>130</v>
      </c>
      <c r="F19" s="8" t="s">
        <v>424</v>
      </c>
      <c r="G19" s="8" t="s">
        <v>406</v>
      </c>
      <c r="H19" s="8"/>
      <c r="I19" s="8" t="s">
        <v>463</v>
      </c>
      <c r="J19" s="20" t="s">
        <v>464</v>
      </c>
    </row>
    <row r="20" spans="1:10" ht="18" customHeight="1" x14ac:dyDescent="0.2">
      <c r="A20" s="9" t="s">
        <v>366</v>
      </c>
      <c r="B20" s="9" t="s">
        <v>155</v>
      </c>
      <c r="C20" s="9" t="s">
        <v>332</v>
      </c>
      <c r="D20" s="18">
        <v>20</v>
      </c>
      <c r="E20" s="9" t="s">
        <v>130</v>
      </c>
      <c r="F20" s="9" t="s">
        <v>424</v>
      </c>
      <c r="G20" s="9" t="s">
        <v>406</v>
      </c>
      <c r="H20" s="9"/>
      <c r="I20" s="9" t="s">
        <v>465</v>
      </c>
      <c r="J20" s="19" t="s">
        <v>466</v>
      </c>
    </row>
    <row r="21" spans="1:10" ht="18" customHeight="1" x14ac:dyDescent="0.2">
      <c r="A21" s="8" t="s">
        <v>374</v>
      </c>
      <c r="B21" s="8" t="s">
        <v>208</v>
      </c>
      <c r="C21" s="8" t="s">
        <v>342</v>
      </c>
      <c r="D21" s="16">
        <v>0</v>
      </c>
      <c r="E21" s="8" t="s">
        <v>130</v>
      </c>
      <c r="F21" s="8" t="s">
        <v>467</v>
      </c>
      <c r="G21" s="8" t="s">
        <v>426</v>
      </c>
      <c r="H21" s="8"/>
      <c r="I21" s="8" t="s">
        <v>433</v>
      </c>
      <c r="J21" s="20" t="s">
        <v>468</v>
      </c>
    </row>
    <row r="22" spans="1:10" ht="18" customHeight="1" x14ac:dyDescent="0.2">
      <c r="A22" s="9" t="s">
        <v>375</v>
      </c>
      <c r="B22" s="9" t="s">
        <v>208</v>
      </c>
      <c r="C22" s="9" t="s">
        <v>347</v>
      </c>
      <c r="D22" s="11">
        <v>5.0999999999999996</v>
      </c>
      <c r="E22" s="9" t="s">
        <v>130</v>
      </c>
      <c r="F22" s="9" t="s">
        <v>469</v>
      </c>
      <c r="G22" s="9" t="s">
        <v>470</v>
      </c>
      <c r="H22" s="9"/>
      <c r="I22" s="9" t="s">
        <v>433</v>
      </c>
      <c r="J22" s="19" t="s">
        <v>471</v>
      </c>
    </row>
    <row r="23" spans="1:10" ht="18" customHeight="1" x14ac:dyDescent="0.2">
      <c r="A23" s="8" t="s">
        <v>376</v>
      </c>
      <c r="B23" s="8" t="s">
        <v>208</v>
      </c>
      <c r="C23" s="8" t="s">
        <v>350</v>
      </c>
      <c r="D23" s="16">
        <v>0</v>
      </c>
      <c r="E23" s="8" t="s">
        <v>130</v>
      </c>
      <c r="F23" s="8" t="s">
        <v>472</v>
      </c>
      <c r="G23" s="8" t="s">
        <v>470</v>
      </c>
      <c r="H23" s="8"/>
      <c r="I23" s="8" t="s">
        <v>433</v>
      </c>
      <c r="J23" s="20" t="s">
        <v>473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5007A"/>
  </sheetPr>
  <dimension ref="A1:M8"/>
  <sheetViews>
    <sheetView showGridLines="0" zoomScaleNormal="100" workbookViewId="0">
      <selection sqref="A1:M1"/>
    </sheetView>
  </sheetViews>
  <sheetFormatPr baseColWidth="10" defaultColWidth="8.6640625" defaultRowHeight="15" x14ac:dyDescent="0.2"/>
  <cols>
    <col min="1" max="1" width="14" customWidth="1"/>
    <col min="2" max="2" width="18" customWidth="1"/>
    <col min="3" max="3" width="12" customWidth="1"/>
    <col min="4" max="4" width="14" customWidth="1"/>
    <col min="5" max="5" width="16" customWidth="1"/>
    <col min="6" max="7" width="12" customWidth="1"/>
    <col min="8" max="8" width="22" customWidth="1"/>
    <col min="9" max="10" width="14" customWidth="1"/>
    <col min="11" max="11" width="40" customWidth="1"/>
    <col min="12" max="12" width="18" customWidth="1"/>
    <col min="13" max="13" width="20" customWidth="1"/>
  </cols>
  <sheetData>
    <row r="1" spans="1:13" ht="31.5" customHeight="1" x14ac:dyDescent="0.2">
      <c r="A1" s="68" t="s">
        <v>474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21.75" customHeight="1" x14ac:dyDescent="0.2">
      <c r="A2" s="67" t="s">
        <v>475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</row>
    <row r="3" spans="1:13" ht="27.75" customHeight="1" x14ac:dyDescent="0.2">
      <c r="A3" s="10" t="s">
        <v>476</v>
      </c>
      <c r="B3" s="10" t="s">
        <v>379</v>
      </c>
      <c r="C3" s="10" t="s">
        <v>380</v>
      </c>
      <c r="D3" s="10" t="s">
        <v>429</v>
      </c>
      <c r="E3" s="10" t="s">
        <v>477</v>
      </c>
      <c r="F3" s="10" t="s">
        <v>478</v>
      </c>
      <c r="G3" s="10" t="s">
        <v>479</v>
      </c>
      <c r="H3" s="10" t="s">
        <v>480</v>
      </c>
      <c r="I3" s="10" t="s">
        <v>392</v>
      </c>
      <c r="J3" s="10" t="s">
        <v>481</v>
      </c>
      <c r="K3" s="10" t="s">
        <v>482</v>
      </c>
      <c r="L3" s="10" t="s">
        <v>483</v>
      </c>
      <c r="M3" s="10" t="s">
        <v>484</v>
      </c>
    </row>
    <row r="4" spans="1:13" ht="18" customHeight="1" x14ac:dyDescent="0.2">
      <c r="A4" s="9">
        <v>1</v>
      </c>
      <c r="B4" s="9" t="s">
        <v>366</v>
      </c>
      <c r="C4" s="9" t="s">
        <v>161</v>
      </c>
      <c r="D4" s="9" t="s">
        <v>332</v>
      </c>
      <c r="E4" s="9" t="s">
        <v>485</v>
      </c>
      <c r="F4" s="9">
        <v>15</v>
      </c>
      <c r="G4" s="9">
        <v>30</v>
      </c>
      <c r="H4" s="18" t="s">
        <v>486</v>
      </c>
      <c r="I4" s="9" t="s">
        <v>418</v>
      </c>
      <c r="J4" s="9" t="s">
        <v>487</v>
      </c>
      <c r="K4" s="9" t="s">
        <v>488</v>
      </c>
      <c r="L4" s="9" t="s">
        <v>489</v>
      </c>
      <c r="M4" s="9" t="s">
        <v>490</v>
      </c>
    </row>
    <row r="5" spans="1:13" ht="18" customHeight="1" x14ac:dyDescent="0.2">
      <c r="A5" s="8">
        <v>2</v>
      </c>
      <c r="B5" s="8" t="s">
        <v>366</v>
      </c>
      <c r="C5" s="8" t="s">
        <v>198</v>
      </c>
      <c r="D5" s="8" t="s">
        <v>332</v>
      </c>
      <c r="E5" s="8" t="s">
        <v>485</v>
      </c>
      <c r="F5" s="8">
        <v>40</v>
      </c>
      <c r="G5" s="8">
        <v>30</v>
      </c>
      <c r="H5" s="16" t="s">
        <v>491</v>
      </c>
      <c r="I5" s="8" t="s">
        <v>408</v>
      </c>
      <c r="J5" s="8" t="s">
        <v>492</v>
      </c>
      <c r="K5" s="8" t="s">
        <v>493</v>
      </c>
      <c r="L5" s="8" t="s">
        <v>489</v>
      </c>
      <c r="M5" s="8" t="s">
        <v>494</v>
      </c>
    </row>
    <row r="6" spans="1:13" ht="18" customHeight="1" x14ac:dyDescent="0.2">
      <c r="A6" s="9">
        <v>3</v>
      </c>
      <c r="B6" s="9" t="s">
        <v>366</v>
      </c>
      <c r="C6" s="9" t="s">
        <v>145</v>
      </c>
      <c r="D6" s="9" t="s">
        <v>332</v>
      </c>
      <c r="E6" s="9" t="s">
        <v>495</v>
      </c>
      <c r="F6" s="9">
        <v>12</v>
      </c>
      <c r="G6" s="9">
        <v>18</v>
      </c>
      <c r="H6" s="18" t="s">
        <v>486</v>
      </c>
      <c r="I6" s="9" t="s">
        <v>408</v>
      </c>
      <c r="J6" s="9" t="s">
        <v>492</v>
      </c>
      <c r="K6" s="9" t="s">
        <v>496</v>
      </c>
      <c r="L6" s="9" t="s">
        <v>489</v>
      </c>
      <c r="M6" s="9" t="s">
        <v>497</v>
      </c>
    </row>
    <row r="7" spans="1:13" ht="18" customHeight="1" x14ac:dyDescent="0.2">
      <c r="A7" s="8">
        <v>4</v>
      </c>
      <c r="B7" s="8" t="s">
        <v>361</v>
      </c>
      <c r="C7" s="8" t="s">
        <v>208</v>
      </c>
      <c r="D7" s="8" t="s">
        <v>332</v>
      </c>
      <c r="E7" s="8" t="s">
        <v>485</v>
      </c>
      <c r="F7" s="8">
        <v>10</v>
      </c>
      <c r="G7" s="8">
        <v>14.4</v>
      </c>
      <c r="H7" s="13" t="s">
        <v>486</v>
      </c>
      <c r="I7" s="8" t="s">
        <v>397</v>
      </c>
      <c r="J7" s="8" t="s">
        <v>498</v>
      </c>
      <c r="K7" s="8" t="s">
        <v>499</v>
      </c>
      <c r="L7" s="8" t="s">
        <v>489</v>
      </c>
      <c r="M7" s="8" t="s">
        <v>500</v>
      </c>
    </row>
    <row r="8" spans="1:13" ht="18" customHeight="1" x14ac:dyDescent="0.2">
      <c r="A8" s="9">
        <v>5</v>
      </c>
      <c r="B8" s="9" t="s">
        <v>366</v>
      </c>
      <c r="C8" s="9" t="s">
        <v>188</v>
      </c>
      <c r="D8" s="9" t="s">
        <v>332</v>
      </c>
      <c r="E8" s="9" t="s">
        <v>495</v>
      </c>
      <c r="F8" s="9">
        <v>5</v>
      </c>
      <c r="G8" s="9">
        <v>15</v>
      </c>
      <c r="H8" s="18" t="s">
        <v>486</v>
      </c>
      <c r="I8" s="9" t="s">
        <v>447</v>
      </c>
      <c r="J8" s="9" t="s">
        <v>501</v>
      </c>
      <c r="K8" s="9" t="s">
        <v>502</v>
      </c>
      <c r="L8" s="9" t="s">
        <v>503</v>
      </c>
      <c r="M8" s="9"/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A86B"/>
  </sheetPr>
  <dimension ref="A1:H13"/>
  <sheetViews>
    <sheetView showGridLines="0" zoomScaleNormal="100" workbookViewId="0">
      <selection sqref="A1:H1"/>
    </sheetView>
  </sheetViews>
  <sheetFormatPr baseColWidth="10" defaultColWidth="8.6640625" defaultRowHeight="15" x14ac:dyDescent="0.2"/>
  <cols>
    <col min="1" max="1" width="16" customWidth="1"/>
    <col min="2" max="2" width="50" customWidth="1"/>
    <col min="3" max="3" width="18" customWidth="1"/>
    <col min="4" max="4" width="35" customWidth="1"/>
    <col min="5" max="5" width="14" customWidth="1"/>
    <col min="6" max="6" width="18" customWidth="1"/>
    <col min="7" max="7" width="30" customWidth="1"/>
    <col min="8" max="8" width="45" customWidth="1"/>
  </cols>
  <sheetData>
    <row r="1" spans="1:8" ht="21.75" customHeight="1" x14ac:dyDescent="0.2">
      <c r="A1" s="61" t="s">
        <v>504</v>
      </c>
      <c r="B1" s="61"/>
      <c r="C1" s="61"/>
      <c r="D1" s="61"/>
      <c r="E1" s="61"/>
      <c r="F1" s="61"/>
      <c r="G1" s="61"/>
      <c r="H1" s="61"/>
    </row>
    <row r="2" spans="1:8" ht="27.75" customHeight="1" x14ac:dyDescent="0.2">
      <c r="A2" s="6" t="s">
        <v>505</v>
      </c>
      <c r="B2" s="6" t="s">
        <v>506</v>
      </c>
      <c r="C2" s="6" t="s">
        <v>507</v>
      </c>
      <c r="D2" s="6" t="s">
        <v>508</v>
      </c>
      <c r="E2" s="6" t="s">
        <v>509</v>
      </c>
      <c r="F2" s="6" t="s">
        <v>510</v>
      </c>
      <c r="G2" s="6" t="s">
        <v>511</v>
      </c>
      <c r="H2" s="6" t="s">
        <v>223</v>
      </c>
    </row>
    <row r="3" spans="1:8" ht="18" customHeight="1" x14ac:dyDescent="0.2">
      <c r="A3" s="8" t="s">
        <v>512</v>
      </c>
      <c r="B3" s="8" t="s">
        <v>513</v>
      </c>
      <c r="C3" s="8" t="s">
        <v>514</v>
      </c>
      <c r="D3" s="8" t="s">
        <v>515</v>
      </c>
      <c r="E3" s="8" t="s">
        <v>516</v>
      </c>
      <c r="F3" s="8"/>
      <c r="G3" s="8" t="s">
        <v>517</v>
      </c>
      <c r="H3" s="8" t="s">
        <v>518</v>
      </c>
    </row>
    <row r="4" spans="1:8" ht="18" customHeight="1" x14ac:dyDescent="0.2">
      <c r="A4" s="9" t="s">
        <v>519</v>
      </c>
      <c r="B4" s="9" t="s">
        <v>520</v>
      </c>
      <c r="C4" s="9" t="s">
        <v>514</v>
      </c>
      <c r="D4" s="9" t="s">
        <v>521</v>
      </c>
      <c r="E4" s="9" t="s">
        <v>406</v>
      </c>
      <c r="F4" s="9"/>
      <c r="G4" s="9" t="s">
        <v>522</v>
      </c>
      <c r="H4" s="9"/>
    </row>
    <row r="5" spans="1:8" ht="18" customHeight="1" x14ac:dyDescent="0.2">
      <c r="A5" s="8" t="s">
        <v>523</v>
      </c>
      <c r="B5" s="8" t="s">
        <v>524</v>
      </c>
      <c r="C5" s="8" t="s">
        <v>514</v>
      </c>
      <c r="D5" s="8" t="s">
        <v>525</v>
      </c>
      <c r="E5" s="8" t="s">
        <v>470</v>
      </c>
      <c r="F5" s="8"/>
      <c r="G5" s="8" t="s">
        <v>526</v>
      </c>
      <c r="H5" s="8" t="s">
        <v>527</v>
      </c>
    </row>
    <row r="6" spans="1:8" ht="18" customHeight="1" x14ac:dyDescent="0.2">
      <c r="A6" s="9" t="s">
        <v>528</v>
      </c>
      <c r="B6" s="9" t="s">
        <v>529</v>
      </c>
      <c r="C6" s="9" t="s">
        <v>530</v>
      </c>
      <c r="D6" s="9" t="s">
        <v>531</v>
      </c>
      <c r="E6" s="9" t="s">
        <v>470</v>
      </c>
      <c r="F6" s="9"/>
      <c r="G6" s="9" t="s">
        <v>532</v>
      </c>
      <c r="H6" s="9"/>
    </row>
    <row r="7" spans="1:8" ht="18" customHeight="1" x14ac:dyDescent="0.2">
      <c r="A7" s="8" t="s">
        <v>533</v>
      </c>
      <c r="B7" s="8" t="s">
        <v>534</v>
      </c>
      <c r="C7" s="8" t="s">
        <v>514</v>
      </c>
      <c r="D7" s="8" t="s">
        <v>535</v>
      </c>
      <c r="E7" s="8" t="s">
        <v>536</v>
      </c>
      <c r="F7" s="8"/>
      <c r="G7" s="8" t="s">
        <v>537</v>
      </c>
      <c r="H7" s="8" t="s">
        <v>538</v>
      </c>
    </row>
    <row r="8" spans="1:8" ht="18" customHeight="1" x14ac:dyDescent="0.2">
      <c r="A8" s="9" t="s">
        <v>539</v>
      </c>
      <c r="B8" s="9" t="s">
        <v>540</v>
      </c>
      <c r="C8" s="9" t="s">
        <v>541</v>
      </c>
      <c r="D8" s="9" t="s">
        <v>542</v>
      </c>
      <c r="E8" s="9" t="s">
        <v>426</v>
      </c>
      <c r="F8" s="9"/>
      <c r="G8" s="9" t="s">
        <v>543</v>
      </c>
      <c r="H8" s="9" t="s">
        <v>544</v>
      </c>
    </row>
    <row r="9" spans="1:8" ht="18" customHeight="1" x14ac:dyDescent="0.2">
      <c r="A9" s="8" t="s">
        <v>545</v>
      </c>
      <c r="B9" s="8" t="s">
        <v>546</v>
      </c>
      <c r="C9" s="8" t="s">
        <v>541</v>
      </c>
      <c r="D9" s="8" t="s">
        <v>124</v>
      </c>
      <c r="E9" s="8" t="s">
        <v>426</v>
      </c>
      <c r="F9" s="8"/>
      <c r="G9" s="8" t="s">
        <v>543</v>
      </c>
      <c r="H9" s="8" t="s">
        <v>547</v>
      </c>
    </row>
    <row r="10" spans="1:8" ht="18" customHeight="1" x14ac:dyDescent="0.2">
      <c r="A10" s="9" t="s">
        <v>548</v>
      </c>
      <c r="B10" s="9" t="s">
        <v>549</v>
      </c>
      <c r="C10" s="9" t="s">
        <v>550</v>
      </c>
      <c r="D10" s="9" t="s">
        <v>551</v>
      </c>
      <c r="E10" s="9" t="s">
        <v>410</v>
      </c>
      <c r="F10" s="9"/>
      <c r="G10" s="9" t="s">
        <v>552</v>
      </c>
      <c r="H10" s="9" t="s">
        <v>553</v>
      </c>
    </row>
    <row r="11" spans="1:8" ht="18" customHeight="1" x14ac:dyDescent="0.2">
      <c r="A11" s="8" t="s">
        <v>554</v>
      </c>
      <c r="B11" s="8" t="s">
        <v>555</v>
      </c>
      <c r="C11" s="8" t="s">
        <v>550</v>
      </c>
      <c r="D11" s="8" t="s">
        <v>556</v>
      </c>
      <c r="E11" s="8" t="s">
        <v>416</v>
      </c>
      <c r="F11" s="8"/>
      <c r="G11" s="8" t="s">
        <v>557</v>
      </c>
      <c r="H11" s="8" t="s">
        <v>558</v>
      </c>
    </row>
    <row r="12" spans="1:8" ht="18" customHeight="1" x14ac:dyDescent="0.2">
      <c r="A12" s="9" t="s">
        <v>559</v>
      </c>
      <c r="B12" s="9" t="s">
        <v>560</v>
      </c>
      <c r="C12" s="9" t="s">
        <v>550</v>
      </c>
      <c r="D12" s="9" t="s">
        <v>561</v>
      </c>
      <c r="E12" s="9" t="s">
        <v>562</v>
      </c>
      <c r="F12" s="9"/>
      <c r="G12" s="9" t="s">
        <v>563</v>
      </c>
      <c r="H12" s="9" t="s">
        <v>564</v>
      </c>
    </row>
    <row r="13" spans="1:8" ht="18" customHeight="1" x14ac:dyDescent="0.2">
      <c r="A13" s="8" t="s">
        <v>565</v>
      </c>
      <c r="B13" s="8" t="s">
        <v>566</v>
      </c>
      <c r="C13" s="8" t="s">
        <v>514</v>
      </c>
      <c r="D13" s="8" t="s">
        <v>567</v>
      </c>
      <c r="E13" s="8" t="s">
        <v>568</v>
      </c>
      <c r="F13" s="8"/>
      <c r="G13" s="8" t="s">
        <v>569</v>
      </c>
      <c r="H13" s="8" t="s">
        <v>570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A86B"/>
  </sheetPr>
  <dimension ref="A1:J13"/>
  <sheetViews>
    <sheetView showGridLines="0" tabSelected="1" zoomScaleNormal="100" workbookViewId="0">
      <selection sqref="A1:J1"/>
    </sheetView>
  </sheetViews>
  <sheetFormatPr baseColWidth="10" defaultColWidth="8.6640625" defaultRowHeight="15" x14ac:dyDescent="0.2"/>
  <cols>
    <col min="1" max="3" width="18" customWidth="1"/>
    <col min="4" max="4" width="16" customWidth="1"/>
    <col min="5" max="5" width="14" customWidth="1"/>
    <col min="6" max="6" width="12" customWidth="1"/>
    <col min="7" max="7" width="18" customWidth="1"/>
    <col min="8" max="8" width="14" customWidth="1"/>
    <col min="9" max="9" width="18" customWidth="1"/>
    <col min="10" max="10" width="40" customWidth="1"/>
  </cols>
  <sheetData>
    <row r="1" spans="1:10" ht="21.75" customHeight="1" x14ac:dyDescent="0.2">
      <c r="A1" s="61" t="s">
        <v>571</v>
      </c>
      <c r="B1" s="61"/>
      <c r="C1" s="61"/>
      <c r="D1" s="61"/>
      <c r="E1" s="61"/>
      <c r="F1" s="61"/>
      <c r="G1" s="61"/>
      <c r="H1" s="61"/>
      <c r="I1" s="61"/>
      <c r="J1" s="61"/>
    </row>
    <row r="2" spans="1:10" ht="27.75" customHeight="1" x14ac:dyDescent="0.2">
      <c r="A2" s="6" t="s">
        <v>379</v>
      </c>
      <c r="B2" s="6" t="s">
        <v>572</v>
      </c>
      <c r="C2" s="6" t="s">
        <v>573</v>
      </c>
      <c r="D2" s="6" t="s">
        <v>574</v>
      </c>
      <c r="E2" s="6" t="s">
        <v>429</v>
      </c>
      <c r="F2" s="6" t="s">
        <v>575</v>
      </c>
      <c r="G2" s="6" t="s">
        <v>576</v>
      </c>
      <c r="H2" s="6" t="s">
        <v>392</v>
      </c>
      <c r="I2" s="6" t="s">
        <v>393</v>
      </c>
      <c r="J2" s="6" t="s">
        <v>223</v>
      </c>
    </row>
    <row r="3" spans="1:10" ht="18" customHeight="1" x14ac:dyDescent="0.2">
      <c r="A3" s="8" t="s">
        <v>361</v>
      </c>
      <c r="B3" s="8" t="s">
        <v>208</v>
      </c>
      <c r="C3" s="8" t="s">
        <v>139</v>
      </c>
      <c r="D3" s="8" t="s">
        <v>512</v>
      </c>
      <c r="E3" s="8" t="s">
        <v>332</v>
      </c>
      <c r="F3" s="16">
        <v>7.2</v>
      </c>
      <c r="G3" s="8" t="s">
        <v>577</v>
      </c>
      <c r="H3" s="8" t="s">
        <v>516</v>
      </c>
      <c r="I3" s="8"/>
      <c r="J3" s="8" t="s">
        <v>578</v>
      </c>
    </row>
    <row r="4" spans="1:10" ht="18" customHeight="1" x14ac:dyDescent="0.2">
      <c r="A4" s="9" t="s">
        <v>366</v>
      </c>
      <c r="B4" s="9" t="s">
        <v>139</v>
      </c>
      <c r="C4" s="9" t="s">
        <v>208</v>
      </c>
      <c r="D4" s="9" t="s">
        <v>512</v>
      </c>
      <c r="E4" s="9" t="s">
        <v>332</v>
      </c>
      <c r="F4" s="11">
        <v>0</v>
      </c>
      <c r="G4" s="9" t="s">
        <v>579</v>
      </c>
      <c r="H4" s="9" t="s">
        <v>516</v>
      </c>
      <c r="I4" s="9"/>
      <c r="J4" s="9" t="s">
        <v>580</v>
      </c>
    </row>
    <row r="5" spans="1:10" ht="18" customHeight="1" x14ac:dyDescent="0.2">
      <c r="A5" s="8" t="s">
        <v>361</v>
      </c>
      <c r="B5" s="8" t="s">
        <v>208</v>
      </c>
      <c r="C5" s="8" t="s">
        <v>193</v>
      </c>
      <c r="D5" s="8" t="s">
        <v>528</v>
      </c>
      <c r="E5" s="8" t="s">
        <v>332</v>
      </c>
      <c r="F5" s="16">
        <v>0</v>
      </c>
      <c r="G5" s="8" t="s">
        <v>579</v>
      </c>
      <c r="H5" s="8" t="s">
        <v>470</v>
      </c>
      <c r="I5" s="8"/>
      <c r="J5" s="8" t="s">
        <v>581</v>
      </c>
    </row>
    <row r="6" spans="1:10" ht="18" customHeight="1" x14ac:dyDescent="0.2">
      <c r="A6" s="9" t="s">
        <v>361</v>
      </c>
      <c r="B6" s="9" t="s">
        <v>208</v>
      </c>
      <c r="C6" s="9" t="s">
        <v>172</v>
      </c>
      <c r="D6" s="9" t="s">
        <v>528</v>
      </c>
      <c r="E6" s="9" t="s">
        <v>332</v>
      </c>
      <c r="F6" s="11">
        <v>0</v>
      </c>
      <c r="G6" s="9" t="s">
        <v>579</v>
      </c>
      <c r="H6" s="9" t="s">
        <v>470</v>
      </c>
      <c r="I6" s="9"/>
      <c r="J6" s="9" t="s">
        <v>582</v>
      </c>
    </row>
    <row r="7" spans="1:10" ht="18" customHeight="1" x14ac:dyDescent="0.2">
      <c r="A7" s="8" t="s">
        <v>361</v>
      </c>
      <c r="B7" s="8" t="s">
        <v>208</v>
      </c>
      <c r="C7" s="8" t="s">
        <v>124</v>
      </c>
      <c r="D7" s="8" t="s">
        <v>545</v>
      </c>
      <c r="E7" s="8" t="s">
        <v>332</v>
      </c>
      <c r="F7" s="16">
        <v>0</v>
      </c>
      <c r="G7" s="8" t="s">
        <v>579</v>
      </c>
      <c r="H7" s="8" t="s">
        <v>426</v>
      </c>
      <c r="I7" s="8"/>
      <c r="J7" s="8" t="s">
        <v>583</v>
      </c>
    </row>
    <row r="8" spans="1:10" ht="18" customHeight="1" x14ac:dyDescent="0.2">
      <c r="A8" s="9" t="s">
        <v>361</v>
      </c>
      <c r="B8" s="9" t="s">
        <v>208</v>
      </c>
      <c r="C8" s="9" t="s">
        <v>161</v>
      </c>
      <c r="D8" s="9" t="s">
        <v>539</v>
      </c>
      <c r="E8" s="9" t="s">
        <v>332</v>
      </c>
      <c r="F8" s="11">
        <v>0</v>
      </c>
      <c r="G8" s="9" t="s">
        <v>579</v>
      </c>
      <c r="H8" s="9" t="s">
        <v>426</v>
      </c>
      <c r="I8" s="9"/>
      <c r="J8" s="9" t="s">
        <v>584</v>
      </c>
    </row>
    <row r="9" spans="1:10" ht="18" customHeight="1" x14ac:dyDescent="0.2">
      <c r="A9" s="8" t="s">
        <v>361</v>
      </c>
      <c r="B9" s="8" t="s">
        <v>208</v>
      </c>
      <c r="C9" s="8" t="s">
        <v>183</v>
      </c>
      <c r="D9" s="8" t="s">
        <v>539</v>
      </c>
      <c r="E9" s="8" t="s">
        <v>332</v>
      </c>
      <c r="F9" s="16">
        <v>0</v>
      </c>
      <c r="G9" s="8" t="s">
        <v>579</v>
      </c>
      <c r="H9" s="8" t="s">
        <v>426</v>
      </c>
      <c r="I9" s="8"/>
      <c r="J9" s="8" t="s">
        <v>584</v>
      </c>
    </row>
    <row r="10" spans="1:10" ht="18" customHeight="1" x14ac:dyDescent="0.2">
      <c r="A10" s="9" t="s">
        <v>361</v>
      </c>
      <c r="B10" s="9" t="s">
        <v>208</v>
      </c>
      <c r="C10" s="9" t="s">
        <v>150</v>
      </c>
      <c r="D10" s="9" t="s">
        <v>523</v>
      </c>
      <c r="E10" s="9" t="s">
        <v>332</v>
      </c>
      <c r="F10" s="11">
        <v>0</v>
      </c>
      <c r="G10" s="9" t="s">
        <v>579</v>
      </c>
      <c r="H10" s="9" t="s">
        <v>470</v>
      </c>
      <c r="I10" s="9"/>
      <c r="J10" s="9" t="s">
        <v>585</v>
      </c>
    </row>
    <row r="11" spans="1:10" ht="18" customHeight="1" x14ac:dyDescent="0.2">
      <c r="A11" s="8" t="s">
        <v>366</v>
      </c>
      <c r="B11" s="8" t="s">
        <v>166</v>
      </c>
      <c r="C11" s="8" t="s">
        <v>586</v>
      </c>
      <c r="D11" s="8" t="s">
        <v>533</v>
      </c>
      <c r="E11" s="8" t="s">
        <v>332</v>
      </c>
      <c r="F11" s="16">
        <v>0</v>
      </c>
      <c r="G11" s="8" t="s">
        <v>587</v>
      </c>
      <c r="H11" s="8" t="s">
        <v>536</v>
      </c>
      <c r="I11" s="8"/>
      <c r="J11" s="8" t="s">
        <v>588</v>
      </c>
    </row>
    <row r="12" spans="1:10" ht="18" customHeight="1" x14ac:dyDescent="0.2">
      <c r="A12" s="9" t="s">
        <v>366</v>
      </c>
      <c r="B12" s="9" t="s">
        <v>198</v>
      </c>
      <c r="C12" s="9" t="s">
        <v>139</v>
      </c>
      <c r="D12" s="9" t="s">
        <v>565</v>
      </c>
      <c r="E12" s="9" t="s">
        <v>332</v>
      </c>
      <c r="F12" s="11">
        <v>0</v>
      </c>
      <c r="G12" s="9" t="s">
        <v>579</v>
      </c>
      <c r="H12" s="9" t="s">
        <v>568</v>
      </c>
      <c r="I12" s="9"/>
      <c r="J12" s="9" t="s">
        <v>589</v>
      </c>
    </row>
    <row r="13" spans="1:10" ht="18" customHeight="1" x14ac:dyDescent="0.2">
      <c r="A13" s="8" t="s">
        <v>366</v>
      </c>
      <c r="B13" s="8" t="s">
        <v>203</v>
      </c>
      <c r="C13" s="8" t="s">
        <v>208</v>
      </c>
      <c r="D13" s="8" t="s">
        <v>519</v>
      </c>
      <c r="E13" s="8" t="s">
        <v>332</v>
      </c>
      <c r="F13" s="16">
        <v>0</v>
      </c>
      <c r="G13" s="8" t="s">
        <v>590</v>
      </c>
      <c r="H13" s="8" t="s">
        <v>406</v>
      </c>
      <c r="I13" s="8"/>
      <c r="J13" s="8" t="s">
        <v>591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A86B"/>
  </sheetPr>
  <dimension ref="A1:J14"/>
  <sheetViews>
    <sheetView showGridLines="0" zoomScaleNormal="100" workbookViewId="0">
      <selection sqref="A1:J1"/>
    </sheetView>
  </sheetViews>
  <sheetFormatPr baseColWidth="10" defaultColWidth="8.6640625" defaultRowHeight="15" x14ac:dyDescent="0.2"/>
  <cols>
    <col min="1" max="1" width="18" customWidth="1"/>
    <col min="2" max="2" width="16" customWidth="1"/>
    <col min="3" max="3" width="18" customWidth="1"/>
    <col min="4" max="4" width="22" customWidth="1"/>
    <col min="5" max="5" width="18" customWidth="1"/>
    <col min="6" max="6" width="22" customWidth="1"/>
    <col min="7" max="7" width="35" customWidth="1"/>
    <col min="8" max="8" width="22" customWidth="1"/>
    <col min="9" max="9" width="28" customWidth="1"/>
    <col min="10" max="10" width="45" customWidth="1"/>
  </cols>
  <sheetData>
    <row r="1" spans="1:10" ht="31.5" customHeight="1" x14ac:dyDescent="0.2">
      <c r="A1" s="68" t="s">
        <v>592</v>
      </c>
      <c r="B1" s="68"/>
      <c r="C1" s="68"/>
      <c r="D1" s="68"/>
      <c r="E1" s="68"/>
      <c r="F1" s="68"/>
      <c r="G1" s="68"/>
      <c r="H1" s="68"/>
      <c r="I1" s="68"/>
      <c r="J1" s="68"/>
    </row>
    <row r="2" spans="1:10" ht="21.75" customHeight="1" x14ac:dyDescent="0.2">
      <c r="A2" s="61" t="s">
        <v>593</v>
      </c>
      <c r="B2" s="61"/>
      <c r="C2" s="61"/>
      <c r="D2" s="61"/>
      <c r="E2" s="61"/>
      <c r="F2" s="61"/>
      <c r="G2" s="61"/>
      <c r="H2" s="61"/>
      <c r="I2" s="61"/>
      <c r="J2" s="61"/>
    </row>
    <row r="3" spans="1:10" ht="27.75" customHeight="1" x14ac:dyDescent="0.2">
      <c r="A3" s="6" t="s">
        <v>379</v>
      </c>
      <c r="B3" s="6" t="s">
        <v>574</v>
      </c>
      <c r="C3" s="6" t="s">
        <v>594</v>
      </c>
      <c r="D3" s="6" t="s">
        <v>595</v>
      </c>
      <c r="E3" s="6" t="s">
        <v>596</v>
      </c>
      <c r="F3" s="6" t="s">
        <v>597</v>
      </c>
      <c r="G3" s="6" t="s">
        <v>598</v>
      </c>
      <c r="H3" s="6" t="s">
        <v>599</v>
      </c>
      <c r="I3" s="6" t="s">
        <v>600</v>
      </c>
      <c r="J3" s="6" t="s">
        <v>223</v>
      </c>
    </row>
    <row r="4" spans="1:10" ht="18" customHeight="1" x14ac:dyDescent="0.2">
      <c r="A4" s="9" t="s">
        <v>361</v>
      </c>
      <c r="B4" s="9" t="s">
        <v>512</v>
      </c>
      <c r="C4" s="9" t="s">
        <v>139</v>
      </c>
      <c r="D4" s="9" t="s">
        <v>601</v>
      </c>
      <c r="E4" s="9"/>
      <c r="F4" s="9">
        <v>10</v>
      </c>
      <c r="G4" s="9" t="s">
        <v>602</v>
      </c>
      <c r="H4" s="9" t="s">
        <v>131</v>
      </c>
      <c r="I4" s="9" t="s">
        <v>603</v>
      </c>
      <c r="J4" s="9" t="s">
        <v>604</v>
      </c>
    </row>
    <row r="5" spans="1:10" ht="18" customHeight="1" x14ac:dyDescent="0.2">
      <c r="A5" s="8" t="s">
        <v>361</v>
      </c>
      <c r="B5" s="8" t="s">
        <v>528</v>
      </c>
      <c r="C5" s="8" t="s">
        <v>193</v>
      </c>
      <c r="D5" s="8" t="s">
        <v>601</v>
      </c>
      <c r="E5" s="8"/>
      <c r="F5" s="8">
        <v>10</v>
      </c>
      <c r="G5" s="8" t="s">
        <v>605</v>
      </c>
      <c r="H5" s="8" t="s">
        <v>131</v>
      </c>
      <c r="I5" s="8" t="s">
        <v>603</v>
      </c>
      <c r="J5" s="8"/>
    </row>
    <row r="6" spans="1:10" ht="18" customHeight="1" x14ac:dyDescent="0.2">
      <c r="A6" s="9" t="s">
        <v>361</v>
      </c>
      <c r="B6" s="9" t="s">
        <v>528</v>
      </c>
      <c r="C6" s="9" t="s">
        <v>172</v>
      </c>
      <c r="D6" s="9" t="s">
        <v>601</v>
      </c>
      <c r="E6" s="9"/>
      <c r="F6" s="9">
        <v>10</v>
      </c>
      <c r="G6" s="9" t="s">
        <v>605</v>
      </c>
      <c r="H6" s="9" t="s">
        <v>131</v>
      </c>
      <c r="I6" s="9" t="s">
        <v>603</v>
      </c>
      <c r="J6" s="9"/>
    </row>
    <row r="7" spans="1:10" ht="18" customHeight="1" x14ac:dyDescent="0.2">
      <c r="A7" s="8" t="s">
        <v>361</v>
      </c>
      <c r="B7" s="8" t="s">
        <v>545</v>
      </c>
      <c r="C7" s="8" t="s">
        <v>124</v>
      </c>
      <c r="D7" s="8" t="s">
        <v>606</v>
      </c>
      <c r="E7" s="8"/>
      <c r="F7" s="8">
        <v>15</v>
      </c>
      <c r="G7" s="8" t="s">
        <v>607</v>
      </c>
      <c r="H7" s="8" t="s">
        <v>131</v>
      </c>
      <c r="I7" s="8" t="s">
        <v>608</v>
      </c>
      <c r="J7" s="8" t="s">
        <v>609</v>
      </c>
    </row>
    <row r="8" spans="1:10" ht="18" customHeight="1" x14ac:dyDescent="0.2">
      <c r="A8" s="9" t="s">
        <v>361</v>
      </c>
      <c r="B8" s="9" t="s">
        <v>539</v>
      </c>
      <c r="C8" s="9" t="s">
        <v>161</v>
      </c>
      <c r="D8" s="9" t="s">
        <v>606</v>
      </c>
      <c r="E8" s="9"/>
      <c r="F8" s="9">
        <v>15</v>
      </c>
      <c r="G8" s="9" t="s">
        <v>607</v>
      </c>
      <c r="H8" s="9" t="s">
        <v>131</v>
      </c>
      <c r="I8" s="9" t="s">
        <v>608</v>
      </c>
      <c r="J8" s="9"/>
    </row>
    <row r="9" spans="1:10" ht="18" customHeight="1" x14ac:dyDescent="0.2">
      <c r="A9" s="8" t="s">
        <v>361</v>
      </c>
      <c r="B9" s="8" t="s">
        <v>539</v>
      </c>
      <c r="C9" s="8" t="s">
        <v>183</v>
      </c>
      <c r="D9" s="8" t="s">
        <v>606</v>
      </c>
      <c r="E9" s="8"/>
      <c r="F9" s="8">
        <v>15</v>
      </c>
      <c r="G9" s="8" t="s">
        <v>607</v>
      </c>
      <c r="H9" s="8" t="s">
        <v>131</v>
      </c>
      <c r="I9" s="8" t="s">
        <v>608</v>
      </c>
      <c r="J9" s="8"/>
    </row>
    <row r="10" spans="1:10" ht="18" customHeight="1" x14ac:dyDescent="0.2">
      <c r="A10" s="9" t="s">
        <v>361</v>
      </c>
      <c r="B10" s="9" t="s">
        <v>523</v>
      </c>
      <c r="C10" s="9" t="s">
        <v>150</v>
      </c>
      <c r="D10" s="9" t="s">
        <v>601</v>
      </c>
      <c r="E10" s="9"/>
      <c r="F10" s="9">
        <v>10</v>
      </c>
      <c r="G10" s="9" t="s">
        <v>610</v>
      </c>
      <c r="H10" s="9" t="s">
        <v>131</v>
      </c>
      <c r="I10" s="9" t="s">
        <v>603</v>
      </c>
      <c r="J10" s="9"/>
    </row>
    <row r="11" spans="1:10" ht="18" customHeight="1" x14ac:dyDescent="0.2">
      <c r="A11" s="8" t="s">
        <v>366</v>
      </c>
      <c r="B11" s="8" t="s">
        <v>533</v>
      </c>
      <c r="C11" s="8" t="s">
        <v>166</v>
      </c>
      <c r="D11" s="8" t="s">
        <v>611</v>
      </c>
      <c r="E11" s="8">
        <v>45</v>
      </c>
      <c r="F11" s="8">
        <v>10</v>
      </c>
      <c r="G11" s="8" t="s">
        <v>612</v>
      </c>
      <c r="H11" s="8" t="s">
        <v>131</v>
      </c>
      <c r="I11" s="8" t="s">
        <v>613</v>
      </c>
      <c r="J11" s="8" t="s">
        <v>614</v>
      </c>
    </row>
    <row r="12" spans="1:10" ht="18" customHeight="1" x14ac:dyDescent="0.2">
      <c r="A12" s="9" t="s">
        <v>366</v>
      </c>
      <c r="B12" s="9" t="s">
        <v>565</v>
      </c>
      <c r="C12" s="9" t="s">
        <v>198</v>
      </c>
      <c r="D12" s="9" t="s">
        <v>601</v>
      </c>
      <c r="E12" s="9"/>
      <c r="F12" s="9">
        <v>10</v>
      </c>
      <c r="G12" s="9" t="s">
        <v>615</v>
      </c>
      <c r="H12" s="9" t="s">
        <v>131</v>
      </c>
      <c r="I12" s="9" t="s">
        <v>616</v>
      </c>
      <c r="J12" s="9" t="s">
        <v>617</v>
      </c>
    </row>
    <row r="13" spans="1:10" ht="18" customHeight="1" x14ac:dyDescent="0.2">
      <c r="A13" s="8" t="s">
        <v>374</v>
      </c>
      <c r="B13" s="8" t="s">
        <v>545</v>
      </c>
      <c r="C13" s="8" t="s">
        <v>124</v>
      </c>
      <c r="D13" s="8" t="s">
        <v>618</v>
      </c>
      <c r="E13" s="8"/>
      <c r="F13" s="8">
        <v>0</v>
      </c>
      <c r="G13" s="8" t="s">
        <v>619</v>
      </c>
      <c r="H13" s="8" t="s">
        <v>131</v>
      </c>
      <c r="I13" s="8" t="s">
        <v>608</v>
      </c>
      <c r="J13" s="8" t="s">
        <v>620</v>
      </c>
    </row>
    <row r="14" spans="1:10" ht="18" customHeight="1" x14ac:dyDescent="0.2">
      <c r="A14" s="9" t="s">
        <v>375</v>
      </c>
      <c r="B14" s="9" t="s">
        <v>539</v>
      </c>
      <c r="C14" s="9" t="s">
        <v>161</v>
      </c>
      <c r="D14" s="9" t="s">
        <v>606</v>
      </c>
      <c r="E14" s="9"/>
      <c r="F14" s="9">
        <v>15</v>
      </c>
      <c r="G14" s="9" t="s">
        <v>621</v>
      </c>
      <c r="H14" s="9" t="s">
        <v>131</v>
      </c>
      <c r="I14" s="9" t="s">
        <v>608</v>
      </c>
      <c r="J14" s="9" t="s">
        <v>622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A86B"/>
  </sheetPr>
  <dimension ref="A1:I11"/>
  <sheetViews>
    <sheetView showGridLines="0" zoomScaleNormal="100" workbookViewId="0">
      <selection sqref="A1:I1"/>
    </sheetView>
  </sheetViews>
  <sheetFormatPr baseColWidth="10" defaultColWidth="8.6640625" defaultRowHeight="15" x14ac:dyDescent="0.2"/>
  <cols>
    <col min="1" max="1" width="18" customWidth="1"/>
    <col min="2" max="2" width="16" customWidth="1"/>
    <col min="3" max="3" width="40" customWidth="1"/>
    <col min="4" max="4" width="30" customWidth="1"/>
    <col min="5" max="5" width="18" customWidth="1"/>
    <col min="6" max="6" width="28" customWidth="1"/>
    <col min="7" max="7" width="24" customWidth="1"/>
    <col min="8" max="8" width="45" customWidth="1"/>
    <col min="9" max="9" width="40" customWidth="1"/>
  </cols>
  <sheetData>
    <row r="1" spans="1:9" ht="31.5" customHeight="1" x14ac:dyDescent="0.2">
      <c r="A1" s="68" t="s">
        <v>623</v>
      </c>
      <c r="B1" s="68"/>
      <c r="C1" s="68"/>
      <c r="D1" s="68"/>
      <c r="E1" s="68"/>
      <c r="F1" s="68"/>
      <c r="G1" s="68"/>
      <c r="H1" s="68"/>
      <c r="I1" s="68"/>
    </row>
    <row r="2" spans="1:9" ht="21.75" customHeight="1" x14ac:dyDescent="0.2">
      <c r="A2" s="61" t="s">
        <v>624</v>
      </c>
      <c r="B2" s="61"/>
      <c r="C2" s="61"/>
      <c r="D2" s="61"/>
      <c r="E2" s="61"/>
      <c r="F2" s="61"/>
      <c r="G2" s="61"/>
      <c r="H2" s="61"/>
      <c r="I2" s="61"/>
    </row>
    <row r="3" spans="1:9" ht="27.75" customHeight="1" x14ac:dyDescent="0.2">
      <c r="A3" s="6" t="s">
        <v>625</v>
      </c>
      <c r="B3" s="6" t="s">
        <v>574</v>
      </c>
      <c r="C3" s="6" t="s">
        <v>626</v>
      </c>
      <c r="D3" s="6" t="s">
        <v>627</v>
      </c>
      <c r="E3" s="6" t="s">
        <v>628</v>
      </c>
      <c r="F3" s="6" t="s">
        <v>629</v>
      </c>
      <c r="G3" s="6" t="s">
        <v>630</v>
      </c>
      <c r="H3" s="6" t="s">
        <v>631</v>
      </c>
      <c r="I3" s="6" t="s">
        <v>223</v>
      </c>
    </row>
    <row r="4" spans="1:9" ht="18" customHeight="1" x14ac:dyDescent="0.2">
      <c r="A4" s="9" t="s">
        <v>603</v>
      </c>
      <c r="B4" s="9" t="s">
        <v>512</v>
      </c>
      <c r="C4" s="9" t="s">
        <v>632</v>
      </c>
      <c r="D4" s="9" t="s">
        <v>633</v>
      </c>
      <c r="E4" s="9" t="s">
        <v>634</v>
      </c>
      <c r="F4" s="9">
        <v>6000</v>
      </c>
      <c r="G4" s="9" t="s">
        <v>635</v>
      </c>
      <c r="H4" s="9" t="s">
        <v>636</v>
      </c>
      <c r="I4" s="9" t="s">
        <v>637</v>
      </c>
    </row>
    <row r="5" spans="1:9" ht="18" customHeight="1" x14ac:dyDescent="0.2">
      <c r="A5" s="8" t="s">
        <v>603</v>
      </c>
      <c r="B5" s="8" t="s">
        <v>528</v>
      </c>
      <c r="C5" s="8" t="s">
        <v>632</v>
      </c>
      <c r="D5" s="8" t="s">
        <v>638</v>
      </c>
      <c r="E5" s="8" t="s">
        <v>634</v>
      </c>
      <c r="F5" s="8">
        <v>5500</v>
      </c>
      <c r="G5" s="8" t="s">
        <v>635</v>
      </c>
      <c r="H5" s="8" t="s">
        <v>636</v>
      </c>
      <c r="I5" s="8"/>
    </row>
    <row r="6" spans="1:9" ht="18" customHeight="1" x14ac:dyDescent="0.2">
      <c r="A6" s="9" t="s">
        <v>603</v>
      </c>
      <c r="B6" s="9" t="s">
        <v>523</v>
      </c>
      <c r="C6" s="9" t="s">
        <v>632</v>
      </c>
      <c r="D6" s="9" t="s">
        <v>639</v>
      </c>
      <c r="E6" s="9" t="s">
        <v>634</v>
      </c>
      <c r="F6" s="9">
        <v>5000</v>
      </c>
      <c r="G6" s="9" t="s">
        <v>635</v>
      </c>
      <c r="H6" s="9" t="s">
        <v>636</v>
      </c>
      <c r="I6" s="9"/>
    </row>
    <row r="7" spans="1:9" ht="18" customHeight="1" x14ac:dyDescent="0.2">
      <c r="A7" s="8" t="s">
        <v>608</v>
      </c>
      <c r="B7" s="8" t="s">
        <v>539</v>
      </c>
      <c r="C7" s="8" t="s">
        <v>640</v>
      </c>
      <c r="D7" s="8" t="s">
        <v>641</v>
      </c>
      <c r="E7" s="8" t="s">
        <v>634</v>
      </c>
      <c r="F7" s="8">
        <v>6000</v>
      </c>
      <c r="G7" s="8" t="s">
        <v>635</v>
      </c>
      <c r="H7" s="8" t="s">
        <v>642</v>
      </c>
      <c r="I7" s="8" t="s">
        <v>643</v>
      </c>
    </row>
    <row r="8" spans="1:9" ht="18" customHeight="1" x14ac:dyDescent="0.2">
      <c r="A8" s="9" t="s">
        <v>608</v>
      </c>
      <c r="B8" s="9" t="s">
        <v>545</v>
      </c>
      <c r="C8" s="9" t="s">
        <v>640</v>
      </c>
      <c r="D8" s="9" t="s">
        <v>641</v>
      </c>
      <c r="E8" s="9" t="s">
        <v>634</v>
      </c>
      <c r="F8" s="9">
        <v>6000</v>
      </c>
      <c r="G8" s="9" t="s">
        <v>635</v>
      </c>
      <c r="H8" s="9" t="s">
        <v>642</v>
      </c>
      <c r="I8" s="9"/>
    </row>
    <row r="9" spans="1:9" ht="18" customHeight="1" x14ac:dyDescent="0.2">
      <c r="A9" s="8" t="s">
        <v>644</v>
      </c>
      <c r="B9" s="8" t="s">
        <v>539</v>
      </c>
      <c r="C9" s="8" t="s">
        <v>645</v>
      </c>
      <c r="D9" s="8" t="s">
        <v>646</v>
      </c>
      <c r="E9" s="8" t="s">
        <v>634</v>
      </c>
      <c r="F9" s="8"/>
      <c r="G9" s="8" t="s">
        <v>131</v>
      </c>
      <c r="H9" s="8" t="s">
        <v>647</v>
      </c>
      <c r="I9" s="8" t="s">
        <v>648</v>
      </c>
    </row>
    <row r="10" spans="1:9" ht="18" customHeight="1" x14ac:dyDescent="0.2">
      <c r="A10" s="9" t="s">
        <v>613</v>
      </c>
      <c r="B10" s="9" t="s">
        <v>533</v>
      </c>
      <c r="C10" s="9" t="s">
        <v>649</v>
      </c>
      <c r="D10" s="9" t="s">
        <v>650</v>
      </c>
      <c r="E10" s="9" t="s">
        <v>634</v>
      </c>
      <c r="F10" s="9"/>
      <c r="G10" s="9" t="s">
        <v>635</v>
      </c>
      <c r="H10" s="9" t="s">
        <v>651</v>
      </c>
      <c r="I10" s="9" t="s">
        <v>652</v>
      </c>
    </row>
    <row r="11" spans="1:9" ht="18" customHeight="1" x14ac:dyDescent="0.2">
      <c r="A11" s="8" t="s">
        <v>616</v>
      </c>
      <c r="B11" s="8" t="s">
        <v>565</v>
      </c>
      <c r="C11" s="8" t="s">
        <v>653</v>
      </c>
      <c r="D11" s="8" t="s">
        <v>654</v>
      </c>
      <c r="E11" s="8" t="s">
        <v>634</v>
      </c>
      <c r="F11" s="8">
        <v>200</v>
      </c>
      <c r="G11" s="8" t="s">
        <v>635</v>
      </c>
      <c r="H11" s="8" t="s">
        <v>655</v>
      </c>
      <c r="I11" s="8" t="s">
        <v>656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B830"/>
  </sheetPr>
  <dimension ref="A1:J12"/>
  <sheetViews>
    <sheetView showGridLines="0" zoomScaleNormal="100" workbookViewId="0">
      <selection sqref="A1:J1"/>
    </sheetView>
  </sheetViews>
  <sheetFormatPr baseColWidth="10" defaultColWidth="8.6640625" defaultRowHeight="15" x14ac:dyDescent="0.2"/>
  <cols>
    <col min="1" max="1" width="18" customWidth="1"/>
    <col min="2" max="2" width="12" customWidth="1"/>
    <col min="3" max="3" width="14" customWidth="1"/>
    <col min="4" max="4" width="16" customWidth="1"/>
    <col min="5" max="5" width="40" customWidth="1"/>
    <col min="6" max="6" width="14" customWidth="1"/>
    <col min="7" max="7" width="30" customWidth="1"/>
    <col min="8" max="8" width="12" customWidth="1"/>
    <col min="9" max="9" width="14" customWidth="1"/>
    <col min="10" max="10" width="40" customWidth="1"/>
  </cols>
  <sheetData>
    <row r="1" spans="1:10" ht="21.75" customHeight="1" x14ac:dyDescent="0.2">
      <c r="A1" s="69" t="s">
        <v>657</v>
      </c>
      <c r="B1" s="69"/>
      <c r="C1" s="69"/>
      <c r="D1" s="69"/>
      <c r="E1" s="69"/>
      <c r="F1" s="69"/>
      <c r="G1" s="69"/>
      <c r="H1" s="69"/>
      <c r="I1" s="69"/>
      <c r="J1" s="69"/>
    </row>
    <row r="2" spans="1:10" ht="27.75" customHeight="1" x14ac:dyDescent="0.2">
      <c r="A2" s="21" t="s">
        <v>379</v>
      </c>
      <c r="B2" s="21" t="s">
        <v>380</v>
      </c>
      <c r="C2" s="21" t="s">
        <v>429</v>
      </c>
      <c r="D2" s="21" t="s">
        <v>658</v>
      </c>
      <c r="E2" s="21" t="s">
        <v>659</v>
      </c>
      <c r="F2" s="21" t="s">
        <v>660</v>
      </c>
      <c r="G2" s="21" t="s">
        <v>661</v>
      </c>
      <c r="H2" s="21" t="s">
        <v>662</v>
      </c>
      <c r="I2" s="21" t="s">
        <v>392</v>
      </c>
      <c r="J2" s="21" t="s">
        <v>223</v>
      </c>
    </row>
    <row r="3" spans="1:10" ht="18" customHeight="1" x14ac:dyDescent="0.2">
      <c r="A3" s="8" t="s">
        <v>361</v>
      </c>
      <c r="B3" s="8" t="s">
        <v>208</v>
      </c>
      <c r="C3" s="8" t="s">
        <v>332</v>
      </c>
      <c r="D3" s="8" t="s">
        <v>663</v>
      </c>
      <c r="E3" s="8" t="s">
        <v>664</v>
      </c>
      <c r="F3" s="8" t="s">
        <v>635</v>
      </c>
      <c r="G3" s="8" t="s">
        <v>665</v>
      </c>
      <c r="H3" s="8" t="s">
        <v>635</v>
      </c>
      <c r="I3" s="8" t="s">
        <v>470</v>
      </c>
      <c r="J3" s="8" t="s">
        <v>666</v>
      </c>
    </row>
    <row r="4" spans="1:10" ht="18" customHeight="1" x14ac:dyDescent="0.2">
      <c r="A4" s="9" t="s">
        <v>366</v>
      </c>
      <c r="B4" s="9" t="s">
        <v>139</v>
      </c>
      <c r="C4" s="9" t="s">
        <v>332</v>
      </c>
      <c r="D4" s="9" t="s">
        <v>667</v>
      </c>
      <c r="E4" s="9" t="s">
        <v>668</v>
      </c>
      <c r="F4" s="22" t="s">
        <v>131</v>
      </c>
      <c r="G4" s="9" t="s">
        <v>669</v>
      </c>
      <c r="H4" s="9" t="s">
        <v>635</v>
      </c>
      <c r="I4" s="9" t="s">
        <v>406</v>
      </c>
      <c r="J4" s="9" t="s">
        <v>670</v>
      </c>
    </row>
    <row r="5" spans="1:10" ht="18" customHeight="1" x14ac:dyDescent="0.2">
      <c r="A5" s="8" t="s">
        <v>366</v>
      </c>
      <c r="B5" s="8" t="s">
        <v>188</v>
      </c>
      <c r="C5" s="8" t="s">
        <v>332</v>
      </c>
      <c r="D5" s="8" t="s">
        <v>671</v>
      </c>
      <c r="E5" s="8" t="s">
        <v>672</v>
      </c>
      <c r="F5" s="23" t="s">
        <v>131</v>
      </c>
      <c r="G5" s="8" t="s">
        <v>673</v>
      </c>
      <c r="H5" s="8" t="s">
        <v>635</v>
      </c>
      <c r="I5" s="8" t="s">
        <v>408</v>
      </c>
      <c r="J5" s="8" t="s">
        <v>674</v>
      </c>
    </row>
    <row r="6" spans="1:10" ht="18" customHeight="1" x14ac:dyDescent="0.2">
      <c r="A6" s="9" t="s">
        <v>366</v>
      </c>
      <c r="B6" s="9" t="s">
        <v>203</v>
      </c>
      <c r="C6" s="9" t="s">
        <v>332</v>
      </c>
      <c r="D6" s="9" t="s">
        <v>671</v>
      </c>
      <c r="E6" s="9" t="s">
        <v>672</v>
      </c>
      <c r="F6" s="22" t="s">
        <v>131</v>
      </c>
      <c r="G6" s="9" t="s">
        <v>675</v>
      </c>
      <c r="H6" s="9" t="s">
        <v>635</v>
      </c>
      <c r="I6" s="9" t="s">
        <v>408</v>
      </c>
      <c r="J6" s="9"/>
    </row>
    <row r="7" spans="1:10" ht="18" customHeight="1" x14ac:dyDescent="0.2">
      <c r="A7" s="8" t="s">
        <v>366</v>
      </c>
      <c r="B7" s="8" t="s">
        <v>177</v>
      </c>
      <c r="C7" s="8" t="s">
        <v>332</v>
      </c>
      <c r="D7" s="8" t="s">
        <v>671</v>
      </c>
      <c r="E7" s="8" t="s">
        <v>672</v>
      </c>
      <c r="F7" s="23" t="s">
        <v>131</v>
      </c>
      <c r="G7" s="8" t="s">
        <v>676</v>
      </c>
      <c r="H7" s="8" t="s">
        <v>635</v>
      </c>
      <c r="I7" s="8" t="s">
        <v>408</v>
      </c>
      <c r="J7" s="8"/>
    </row>
    <row r="8" spans="1:10" ht="18" customHeight="1" x14ac:dyDescent="0.2">
      <c r="A8" s="9" t="s">
        <v>366</v>
      </c>
      <c r="B8" s="9" t="s">
        <v>145</v>
      </c>
      <c r="C8" s="9" t="s">
        <v>332</v>
      </c>
      <c r="D8" s="9" t="s">
        <v>677</v>
      </c>
      <c r="E8" s="9" t="s">
        <v>678</v>
      </c>
      <c r="F8" s="22" t="s">
        <v>131</v>
      </c>
      <c r="G8" s="9" t="s">
        <v>679</v>
      </c>
      <c r="H8" s="9" t="s">
        <v>635</v>
      </c>
      <c r="I8" s="9" t="s">
        <v>406</v>
      </c>
      <c r="J8" s="9" t="s">
        <v>680</v>
      </c>
    </row>
    <row r="9" spans="1:10" ht="18" customHeight="1" x14ac:dyDescent="0.2">
      <c r="A9" s="8" t="s">
        <v>366</v>
      </c>
      <c r="B9" s="8" t="s">
        <v>166</v>
      </c>
      <c r="C9" s="8" t="s">
        <v>332</v>
      </c>
      <c r="D9" s="8" t="s">
        <v>681</v>
      </c>
      <c r="E9" s="8" t="s">
        <v>682</v>
      </c>
      <c r="F9" s="23" t="s">
        <v>131</v>
      </c>
      <c r="G9" s="8" t="s">
        <v>683</v>
      </c>
      <c r="H9" s="8" t="s">
        <v>635</v>
      </c>
      <c r="I9" s="8" t="s">
        <v>406</v>
      </c>
      <c r="J9" s="8"/>
    </row>
    <row r="10" spans="1:10" ht="18" customHeight="1" x14ac:dyDescent="0.2">
      <c r="A10" s="9" t="s">
        <v>366</v>
      </c>
      <c r="B10" s="9" t="s">
        <v>198</v>
      </c>
      <c r="C10" s="9" t="s">
        <v>332</v>
      </c>
      <c r="D10" s="9" t="s">
        <v>684</v>
      </c>
      <c r="E10" s="9" t="s">
        <v>685</v>
      </c>
      <c r="F10" s="22" t="s">
        <v>131</v>
      </c>
      <c r="G10" s="9" t="s">
        <v>686</v>
      </c>
      <c r="H10" s="9" t="s">
        <v>635</v>
      </c>
      <c r="I10" s="9" t="s">
        <v>406</v>
      </c>
      <c r="J10" s="9" t="s">
        <v>687</v>
      </c>
    </row>
    <row r="11" spans="1:10" ht="18" customHeight="1" x14ac:dyDescent="0.2">
      <c r="A11" s="8" t="s">
        <v>374</v>
      </c>
      <c r="B11" s="8" t="s">
        <v>208</v>
      </c>
      <c r="C11" s="8" t="s">
        <v>342</v>
      </c>
      <c r="D11" s="8" t="s">
        <v>688</v>
      </c>
      <c r="E11" s="8" t="s">
        <v>689</v>
      </c>
      <c r="F11" s="23" t="s">
        <v>131</v>
      </c>
      <c r="G11" s="8" t="s">
        <v>690</v>
      </c>
      <c r="H11" s="8" t="s">
        <v>635</v>
      </c>
      <c r="I11" s="8" t="s">
        <v>691</v>
      </c>
      <c r="J11" s="8" t="s">
        <v>692</v>
      </c>
    </row>
    <row r="12" spans="1:10" ht="18" customHeight="1" x14ac:dyDescent="0.2">
      <c r="A12" s="9" t="s">
        <v>376</v>
      </c>
      <c r="B12" s="9" t="s">
        <v>208</v>
      </c>
      <c r="C12" s="9" t="s">
        <v>350</v>
      </c>
      <c r="D12" s="9" t="s">
        <v>693</v>
      </c>
      <c r="E12" s="9" t="s">
        <v>694</v>
      </c>
      <c r="F12" s="9" t="s">
        <v>635</v>
      </c>
      <c r="G12" s="9" t="s">
        <v>695</v>
      </c>
      <c r="H12" s="9" t="s">
        <v>635</v>
      </c>
      <c r="I12" s="9" t="s">
        <v>470</v>
      </c>
      <c r="J12" s="9" t="s">
        <v>696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B830"/>
  </sheetPr>
  <dimension ref="A1:O13"/>
  <sheetViews>
    <sheetView showGridLines="0" zoomScaleNormal="100" workbookViewId="0">
      <selection sqref="A1:O1"/>
    </sheetView>
  </sheetViews>
  <sheetFormatPr baseColWidth="10" defaultColWidth="8.6640625" defaultRowHeight="15" x14ac:dyDescent="0.2"/>
  <cols>
    <col min="1" max="2" width="18" customWidth="1"/>
    <col min="3" max="3" width="22" customWidth="1"/>
    <col min="4" max="5" width="16" customWidth="1"/>
    <col min="6" max="7" width="40" customWidth="1"/>
    <col min="8" max="8" width="30" customWidth="1"/>
    <col min="9" max="9" width="20" customWidth="1"/>
    <col min="10" max="10" width="18" customWidth="1"/>
    <col min="11" max="11" width="16" customWidth="1"/>
    <col min="12" max="12" width="12" customWidth="1"/>
    <col min="13" max="13" width="18" customWidth="1"/>
    <col min="14" max="14" width="14" customWidth="1"/>
    <col min="15" max="15" width="35" customWidth="1"/>
  </cols>
  <sheetData>
    <row r="1" spans="1:15" ht="31.5" customHeight="1" x14ac:dyDescent="0.2">
      <c r="A1" s="68" t="s">
        <v>697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</row>
    <row r="2" spans="1:15" ht="21.75" customHeight="1" x14ac:dyDescent="0.2">
      <c r="A2" s="69" t="s">
        <v>698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</row>
    <row r="3" spans="1:15" ht="27.75" customHeight="1" x14ac:dyDescent="0.2">
      <c r="A3" s="21" t="s">
        <v>379</v>
      </c>
      <c r="B3" s="21" t="s">
        <v>699</v>
      </c>
      <c r="C3" s="21" t="s">
        <v>700</v>
      </c>
      <c r="D3" s="21" t="s">
        <v>701</v>
      </c>
      <c r="E3" s="21" t="s">
        <v>702</v>
      </c>
      <c r="F3" s="21" t="s">
        <v>703</v>
      </c>
      <c r="G3" s="21" t="s">
        <v>704</v>
      </c>
      <c r="H3" s="21" t="s">
        <v>705</v>
      </c>
      <c r="I3" s="21" t="s">
        <v>706</v>
      </c>
      <c r="J3" s="21" t="s">
        <v>707</v>
      </c>
      <c r="K3" s="21" t="s">
        <v>628</v>
      </c>
      <c r="L3" s="21" t="s">
        <v>708</v>
      </c>
      <c r="M3" s="21" t="s">
        <v>709</v>
      </c>
      <c r="N3" s="21" t="s">
        <v>392</v>
      </c>
      <c r="O3" s="21" t="s">
        <v>223</v>
      </c>
    </row>
    <row r="4" spans="1:15" ht="18" customHeight="1" x14ac:dyDescent="0.2">
      <c r="A4" s="9" t="s">
        <v>366</v>
      </c>
      <c r="B4" s="9" t="s">
        <v>139</v>
      </c>
      <c r="C4" s="9"/>
      <c r="D4" s="9" t="s">
        <v>710</v>
      </c>
      <c r="E4" s="9" t="s">
        <v>711</v>
      </c>
      <c r="F4" s="9" t="s">
        <v>712</v>
      </c>
      <c r="G4" s="9" t="s">
        <v>713</v>
      </c>
      <c r="H4" s="9" t="s">
        <v>714</v>
      </c>
      <c r="I4" s="9" t="s">
        <v>715</v>
      </c>
      <c r="J4" s="9" t="s">
        <v>716</v>
      </c>
      <c r="K4" s="9">
        <v>30</v>
      </c>
      <c r="L4" s="9" t="s">
        <v>131</v>
      </c>
      <c r="M4" s="9" t="s">
        <v>717</v>
      </c>
      <c r="N4" s="9" t="s">
        <v>406</v>
      </c>
      <c r="O4" s="9" t="s">
        <v>718</v>
      </c>
    </row>
    <row r="5" spans="1:15" ht="18" customHeight="1" x14ac:dyDescent="0.2">
      <c r="A5" s="8" t="s">
        <v>366</v>
      </c>
      <c r="B5" s="8" t="s">
        <v>139</v>
      </c>
      <c r="C5" s="8"/>
      <c r="D5" s="8" t="s">
        <v>719</v>
      </c>
      <c r="E5" s="8" t="s">
        <v>711</v>
      </c>
      <c r="F5" s="8" t="s">
        <v>720</v>
      </c>
      <c r="G5" s="8" t="s">
        <v>721</v>
      </c>
      <c r="H5" s="8" t="s">
        <v>722</v>
      </c>
      <c r="I5" s="8" t="s">
        <v>715</v>
      </c>
      <c r="J5" s="8" t="s">
        <v>716</v>
      </c>
      <c r="K5" s="8">
        <v>14</v>
      </c>
      <c r="L5" s="8" t="s">
        <v>131</v>
      </c>
      <c r="M5" s="8" t="s">
        <v>723</v>
      </c>
      <c r="N5" s="8" t="s">
        <v>406</v>
      </c>
      <c r="O5" s="8" t="s">
        <v>724</v>
      </c>
    </row>
    <row r="6" spans="1:15" ht="18" customHeight="1" x14ac:dyDescent="0.2">
      <c r="A6" s="9" t="s">
        <v>366</v>
      </c>
      <c r="B6" s="9" t="s">
        <v>198</v>
      </c>
      <c r="C6" s="9"/>
      <c r="D6" s="9" t="s">
        <v>719</v>
      </c>
      <c r="E6" s="9" t="s">
        <v>711</v>
      </c>
      <c r="F6" s="9" t="s">
        <v>720</v>
      </c>
      <c r="G6" s="9" t="s">
        <v>725</v>
      </c>
      <c r="H6" s="9" t="s">
        <v>722</v>
      </c>
      <c r="I6" s="9" t="s">
        <v>715</v>
      </c>
      <c r="J6" s="9" t="s">
        <v>716</v>
      </c>
      <c r="K6" s="9">
        <v>14</v>
      </c>
      <c r="L6" s="9" t="s">
        <v>131</v>
      </c>
      <c r="M6" s="9" t="s">
        <v>723</v>
      </c>
      <c r="N6" s="9" t="s">
        <v>406</v>
      </c>
      <c r="O6" s="9"/>
    </row>
    <row r="7" spans="1:15" ht="18" customHeight="1" x14ac:dyDescent="0.2">
      <c r="A7" s="8" t="s">
        <v>366</v>
      </c>
      <c r="B7" s="8" t="s">
        <v>188</v>
      </c>
      <c r="C7" s="8"/>
      <c r="D7" s="8" t="s">
        <v>726</v>
      </c>
      <c r="E7" s="8" t="s">
        <v>727</v>
      </c>
      <c r="F7" s="8" t="s">
        <v>728</v>
      </c>
      <c r="G7" s="8" t="s">
        <v>729</v>
      </c>
      <c r="H7" s="8" t="s">
        <v>730</v>
      </c>
      <c r="I7" s="8" t="s">
        <v>731</v>
      </c>
      <c r="J7" s="8" t="s">
        <v>732</v>
      </c>
      <c r="K7" s="8"/>
      <c r="L7" s="8" t="s">
        <v>131</v>
      </c>
      <c r="M7" s="8" t="s">
        <v>733</v>
      </c>
      <c r="N7" s="8" t="s">
        <v>408</v>
      </c>
      <c r="O7" s="8" t="s">
        <v>734</v>
      </c>
    </row>
    <row r="8" spans="1:15" ht="18" customHeight="1" x14ac:dyDescent="0.2">
      <c r="A8" s="9" t="s">
        <v>366</v>
      </c>
      <c r="B8" s="9" t="s">
        <v>203</v>
      </c>
      <c r="C8" s="9"/>
      <c r="D8" s="9" t="s">
        <v>726</v>
      </c>
      <c r="E8" s="9" t="s">
        <v>727</v>
      </c>
      <c r="F8" s="9" t="s">
        <v>728</v>
      </c>
      <c r="G8" s="9" t="s">
        <v>735</v>
      </c>
      <c r="H8" s="9" t="s">
        <v>675</v>
      </c>
      <c r="I8" s="9" t="s">
        <v>731</v>
      </c>
      <c r="J8" s="9" t="s">
        <v>732</v>
      </c>
      <c r="K8" s="9"/>
      <c r="L8" s="9" t="s">
        <v>131</v>
      </c>
      <c r="M8" s="9" t="s">
        <v>733</v>
      </c>
      <c r="N8" s="9" t="s">
        <v>408</v>
      </c>
      <c r="O8" s="9"/>
    </row>
    <row r="9" spans="1:15" ht="18" customHeight="1" x14ac:dyDescent="0.2">
      <c r="A9" s="8" t="s">
        <v>366</v>
      </c>
      <c r="B9" s="8" t="s">
        <v>183</v>
      </c>
      <c r="C9" s="8"/>
      <c r="D9" s="8" t="s">
        <v>736</v>
      </c>
      <c r="E9" s="8" t="s">
        <v>737</v>
      </c>
      <c r="F9" s="8" t="s">
        <v>738</v>
      </c>
      <c r="G9" s="8" t="s">
        <v>739</v>
      </c>
      <c r="H9" s="8" t="s">
        <v>740</v>
      </c>
      <c r="I9" s="8" t="s">
        <v>715</v>
      </c>
      <c r="J9" s="8" t="s">
        <v>716</v>
      </c>
      <c r="K9" s="8"/>
      <c r="L9" s="8" t="s">
        <v>131</v>
      </c>
      <c r="M9" s="8" t="s">
        <v>741</v>
      </c>
      <c r="N9" s="8" t="s">
        <v>406</v>
      </c>
      <c r="O9" s="8"/>
    </row>
    <row r="10" spans="1:15" ht="18" customHeight="1" x14ac:dyDescent="0.2">
      <c r="A10" s="9" t="s">
        <v>366</v>
      </c>
      <c r="B10" s="9" t="s">
        <v>145</v>
      </c>
      <c r="C10" s="9"/>
      <c r="D10" s="9" t="s">
        <v>742</v>
      </c>
      <c r="E10" s="9" t="s">
        <v>727</v>
      </c>
      <c r="F10" s="9" t="s">
        <v>743</v>
      </c>
      <c r="G10" s="9" t="s">
        <v>744</v>
      </c>
      <c r="H10" s="9" t="s">
        <v>679</v>
      </c>
      <c r="I10" s="9" t="s">
        <v>731</v>
      </c>
      <c r="J10" s="9" t="s">
        <v>732</v>
      </c>
      <c r="K10" s="9"/>
      <c r="L10" s="9" t="s">
        <v>131</v>
      </c>
      <c r="M10" s="9" t="s">
        <v>745</v>
      </c>
      <c r="N10" s="9" t="s">
        <v>406</v>
      </c>
      <c r="O10" s="9" t="s">
        <v>746</v>
      </c>
    </row>
    <row r="11" spans="1:15" ht="18" customHeight="1" x14ac:dyDescent="0.2">
      <c r="A11" s="8" t="s">
        <v>374</v>
      </c>
      <c r="B11" s="8" t="s">
        <v>208</v>
      </c>
      <c r="C11" s="8"/>
      <c r="D11" s="8" t="s">
        <v>747</v>
      </c>
      <c r="E11" s="8" t="s">
        <v>711</v>
      </c>
      <c r="F11" s="8" t="s">
        <v>748</v>
      </c>
      <c r="G11" s="8" t="s">
        <v>749</v>
      </c>
      <c r="H11" s="8" t="s">
        <v>750</v>
      </c>
      <c r="I11" s="8" t="s">
        <v>715</v>
      </c>
      <c r="J11" s="8" t="s">
        <v>716</v>
      </c>
      <c r="K11" s="8">
        <v>365</v>
      </c>
      <c r="L11" s="8" t="s">
        <v>131</v>
      </c>
      <c r="M11" s="8" t="s">
        <v>751</v>
      </c>
      <c r="N11" s="8" t="s">
        <v>691</v>
      </c>
      <c r="O11" s="8" t="s">
        <v>752</v>
      </c>
    </row>
    <row r="12" spans="1:15" ht="18" customHeight="1" x14ac:dyDescent="0.2">
      <c r="A12" s="9" t="s">
        <v>366</v>
      </c>
      <c r="B12" s="9"/>
      <c r="C12" s="9"/>
      <c r="D12" s="9" t="s">
        <v>742</v>
      </c>
      <c r="E12" s="9" t="s">
        <v>727</v>
      </c>
      <c r="F12" s="9" t="s">
        <v>753</v>
      </c>
      <c r="G12" s="9" t="s">
        <v>754</v>
      </c>
      <c r="H12" s="9" t="s">
        <v>755</v>
      </c>
      <c r="I12" s="9" t="s">
        <v>715</v>
      </c>
      <c r="J12" s="9" t="s">
        <v>716</v>
      </c>
      <c r="K12" s="9"/>
      <c r="L12" s="9" t="s">
        <v>131</v>
      </c>
      <c r="M12" s="9" t="s">
        <v>756</v>
      </c>
      <c r="N12" s="9" t="s">
        <v>406</v>
      </c>
      <c r="O12" s="9" t="s">
        <v>757</v>
      </c>
    </row>
    <row r="13" spans="1:15" ht="18" customHeight="1" x14ac:dyDescent="0.2">
      <c r="A13" s="8" t="s">
        <v>375</v>
      </c>
      <c r="B13" s="8" t="s">
        <v>139</v>
      </c>
      <c r="C13" s="8"/>
      <c r="D13" s="8" t="s">
        <v>710</v>
      </c>
      <c r="E13" s="8" t="s">
        <v>711</v>
      </c>
      <c r="F13" s="8" t="s">
        <v>712</v>
      </c>
      <c r="G13" s="8" t="s">
        <v>758</v>
      </c>
      <c r="H13" s="8" t="s">
        <v>714</v>
      </c>
      <c r="I13" s="8" t="s">
        <v>715</v>
      </c>
      <c r="J13" s="8" t="s">
        <v>716</v>
      </c>
      <c r="K13" s="8">
        <v>30</v>
      </c>
      <c r="L13" s="8" t="s">
        <v>131</v>
      </c>
      <c r="M13" s="8" t="s">
        <v>717</v>
      </c>
      <c r="N13" s="8" t="s">
        <v>406</v>
      </c>
      <c r="O13" s="8" t="s">
        <v>759</v>
      </c>
    </row>
  </sheetData>
  <mergeCells count="2">
    <mergeCell ref="A1:O1"/>
    <mergeCell ref="A2:O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B830"/>
  </sheetPr>
  <dimension ref="A1:M10"/>
  <sheetViews>
    <sheetView showGridLines="0" topLeftCell="E1" zoomScaleNormal="100" workbookViewId="0">
      <selection activeCell="N36" sqref="N36"/>
    </sheetView>
  </sheetViews>
  <sheetFormatPr baseColWidth="10" defaultColWidth="8.6640625" defaultRowHeight="15" x14ac:dyDescent="0.2"/>
  <cols>
    <col min="1" max="1" width="18" customWidth="1"/>
    <col min="2" max="2" width="20" customWidth="1"/>
    <col min="3" max="3" width="14" customWidth="1"/>
    <col min="4" max="4" width="28" customWidth="1"/>
    <col min="5" max="5" width="16" customWidth="1"/>
    <col min="6" max="6" width="18" customWidth="1"/>
    <col min="7" max="7" width="14" customWidth="1"/>
    <col min="8" max="8" width="30" customWidth="1"/>
    <col min="9" max="9" width="18" customWidth="1"/>
    <col min="10" max="10" width="22" customWidth="1"/>
    <col min="11" max="11" width="14" customWidth="1"/>
    <col min="12" max="12" width="35" customWidth="1"/>
    <col min="13" max="13" width="40" customWidth="1"/>
  </cols>
  <sheetData>
    <row r="1" spans="1:13" ht="31.5" customHeight="1" x14ac:dyDescent="0.2">
      <c r="A1" s="68" t="s">
        <v>760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21.75" customHeight="1" x14ac:dyDescent="0.2">
      <c r="A2" s="69" t="s">
        <v>761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7.75" customHeight="1" x14ac:dyDescent="0.2">
      <c r="A3" s="21" t="s">
        <v>379</v>
      </c>
      <c r="B3" s="21" t="s">
        <v>762</v>
      </c>
      <c r="C3" s="21" t="s">
        <v>429</v>
      </c>
      <c r="D3" s="21" t="s">
        <v>763</v>
      </c>
      <c r="E3" s="21" t="s">
        <v>764</v>
      </c>
      <c r="F3" s="21" t="s">
        <v>765</v>
      </c>
      <c r="G3" s="21" t="s">
        <v>660</v>
      </c>
      <c r="H3" s="21" t="s">
        <v>661</v>
      </c>
      <c r="I3" s="21" t="s">
        <v>766</v>
      </c>
      <c r="J3" s="21" t="s">
        <v>767</v>
      </c>
      <c r="K3" s="21" t="s">
        <v>392</v>
      </c>
      <c r="L3" s="21" t="s">
        <v>482</v>
      </c>
      <c r="M3" s="21" t="s">
        <v>223</v>
      </c>
    </row>
    <row r="4" spans="1:13" ht="18" customHeight="1" x14ac:dyDescent="0.2">
      <c r="A4" s="9" t="s">
        <v>366</v>
      </c>
      <c r="B4" s="9" t="s">
        <v>132</v>
      </c>
      <c r="C4" s="9" t="s">
        <v>332</v>
      </c>
      <c r="D4" s="9" t="s">
        <v>768</v>
      </c>
      <c r="E4" s="9"/>
      <c r="F4" s="9"/>
      <c r="G4" s="9" t="s">
        <v>635</v>
      </c>
      <c r="H4" s="9"/>
      <c r="I4" s="9"/>
      <c r="J4" s="9" t="s">
        <v>131</v>
      </c>
      <c r="K4" s="9" t="s">
        <v>406</v>
      </c>
      <c r="L4" s="9" t="s">
        <v>769</v>
      </c>
      <c r="M4" s="9" t="s">
        <v>770</v>
      </c>
    </row>
    <row r="5" spans="1:13" ht="18" customHeight="1" x14ac:dyDescent="0.2">
      <c r="A5" s="8" t="s">
        <v>342</v>
      </c>
      <c r="B5" s="8" t="s">
        <v>145</v>
      </c>
      <c r="C5" s="8" t="s">
        <v>342</v>
      </c>
      <c r="D5" s="8" t="s">
        <v>771</v>
      </c>
      <c r="E5" s="8"/>
      <c r="F5" s="8"/>
      <c r="G5" s="8" t="s">
        <v>635</v>
      </c>
      <c r="H5" s="8"/>
      <c r="I5" s="8"/>
      <c r="J5" s="8" t="s">
        <v>131</v>
      </c>
      <c r="K5" s="8" t="s">
        <v>406</v>
      </c>
      <c r="L5" s="8" t="s">
        <v>772</v>
      </c>
      <c r="M5" s="8" t="s">
        <v>773</v>
      </c>
    </row>
    <row r="6" spans="1:13" ht="18" customHeight="1" x14ac:dyDescent="0.2">
      <c r="A6" s="9" t="s">
        <v>376</v>
      </c>
      <c r="B6" s="9" t="s">
        <v>774</v>
      </c>
      <c r="C6" s="9" t="s">
        <v>350</v>
      </c>
      <c r="D6" s="9" t="s">
        <v>768</v>
      </c>
      <c r="E6" s="9">
        <v>10</v>
      </c>
      <c r="F6" s="9" t="s">
        <v>138</v>
      </c>
      <c r="G6" s="9" t="s">
        <v>635</v>
      </c>
      <c r="H6" s="9"/>
      <c r="I6" s="9"/>
      <c r="J6" s="9" t="s">
        <v>131</v>
      </c>
      <c r="K6" s="9" t="s">
        <v>406</v>
      </c>
      <c r="L6" s="9" t="s">
        <v>775</v>
      </c>
      <c r="M6" s="9" t="s">
        <v>776</v>
      </c>
    </row>
    <row r="7" spans="1:13" ht="18" customHeight="1" x14ac:dyDescent="0.2">
      <c r="A7" s="8" t="s">
        <v>366</v>
      </c>
      <c r="B7" s="8" t="s">
        <v>777</v>
      </c>
      <c r="C7" s="8" t="s">
        <v>332</v>
      </c>
      <c r="D7" s="8" t="s">
        <v>768</v>
      </c>
      <c r="E7" s="8"/>
      <c r="F7" s="8"/>
      <c r="G7" s="8" t="s">
        <v>131</v>
      </c>
      <c r="H7" s="8" t="s">
        <v>778</v>
      </c>
      <c r="I7" s="8"/>
      <c r="J7" s="8" t="s">
        <v>131</v>
      </c>
      <c r="K7" s="8" t="s">
        <v>406</v>
      </c>
      <c r="L7" s="8" t="s">
        <v>779</v>
      </c>
      <c r="M7" s="8" t="s">
        <v>780</v>
      </c>
    </row>
    <row r="8" spans="1:13" ht="18" customHeight="1" x14ac:dyDescent="0.2">
      <c r="A8" s="9" t="s">
        <v>375</v>
      </c>
      <c r="B8" s="9" t="s">
        <v>781</v>
      </c>
      <c r="C8" s="9" t="s">
        <v>347</v>
      </c>
      <c r="D8" s="9" t="s">
        <v>771</v>
      </c>
      <c r="E8" s="9"/>
      <c r="F8" s="9"/>
      <c r="G8" s="9" t="s">
        <v>131</v>
      </c>
      <c r="H8" s="9" t="s">
        <v>782</v>
      </c>
      <c r="I8" s="9"/>
      <c r="J8" s="9" t="s">
        <v>635</v>
      </c>
      <c r="K8" s="9" t="s">
        <v>783</v>
      </c>
      <c r="L8" s="9" t="s">
        <v>784</v>
      </c>
      <c r="M8" s="9" t="s">
        <v>785</v>
      </c>
    </row>
    <row r="9" spans="1:13" ht="18" customHeight="1" x14ac:dyDescent="0.2">
      <c r="A9" s="8" t="s">
        <v>342</v>
      </c>
      <c r="B9" s="8" t="s">
        <v>786</v>
      </c>
      <c r="C9" s="8" t="s">
        <v>342</v>
      </c>
      <c r="D9" s="8" t="s">
        <v>787</v>
      </c>
      <c r="E9" s="8"/>
      <c r="F9" s="8"/>
      <c r="G9" s="8" t="s">
        <v>131</v>
      </c>
      <c r="H9" s="8" t="s">
        <v>788</v>
      </c>
      <c r="I9" s="8"/>
      <c r="J9" s="8" t="s">
        <v>131</v>
      </c>
      <c r="K9" s="8" t="s">
        <v>406</v>
      </c>
      <c r="L9" s="8" t="s">
        <v>789</v>
      </c>
      <c r="M9" s="8" t="s">
        <v>790</v>
      </c>
    </row>
    <row r="10" spans="1:13" ht="18" customHeight="1" x14ac:dyDescent="0.2">
      <c r="A10" s="9" t="s">
        <v>342</v>
      </c>
      <c r="B10" s="9" t="s">
        <v>791</v>
      </c>
      <c r="C10" s="9" t="s">
        <v>342</v>
      </c>
      <c r="D10" s="9" t="s">
        <v>787</v>
      </c>
      <c r="E10" s="9"/>
      <c r="F10" s="9"/>
      <c r="G10" s="9" t="s">
        <v>131</v>
      </c>
      <c r="H10" s="9" t="s">
        <v>792</v>
      </c>
      <c r="I10" s="9"/>
      <c r="J10" s="9" t="s">
        <v>131</v>
      </c>
      <c r="K10" s="9" t="s">
        <v>406</v>
      </c>
      <c r="L10" s="9" t="s">
        <v>793</v>
      </c>
      <c r="M10" s="9" t="s">
        <v>794</v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C0392B"/>
  </sheetPr>
  <dimension ref="A1:N13"/>
  <sheetViews>
    <sheetView showGridLines="0" zoomScaleNormal="100" workbookViewId="0">
      <selection sqref="A1:N1"/>
    </sheetView>
  </sheetViews>
  <sheetFormatPr baseColWidth="10" defaultColWidth="8.6640625" defaultRowHeight="15" x14ac:dyDescent="0.2"/>
  <cols>
    <col min="1" max="1" width="14" customWidth="1"/>
    <col min="2" max="2" width="18" customWidth="1"/>
    <col min="3" max="4" width="20" customWidth="1"/>
    <col min="5" max="5" width="22" customWidth="1"/>
    <col min="6" max="6" width="16" customWidth="1"/>
    <col min="7" max="7" width="18" customWidth="1"/>
    <col min="8" max="8" width="35" customWidth="1"/>
    <col min="9" max="9" width="50" customWidth="1"/>
    <col min="10" max="10" width="10" customWidth="1"/>
    <col min="11" max="11" width="14" customWidth="1"/>
    <col min="12" max="12" width="18" customWidth="1"/>
    <col min="13" max="13" width="40" customWidth="1"/>
  </cols>
  <sheetData>
    <row r="1" spans="1:14" ht="31.5" customHeight="1" x14ac:dyDescent="0.2">
      <c r="A1" s="68" t="s">
        <v>795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 ht="21.75" customHeight="1" x14ac:dyDescent="0.2">
      <c r="A2" s="70" t="s">
        <v>796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</row>
    <row r="3" spans="1:14" ht="27.75" customHeight="1" x14ac:dyDescent="0.2">
      <c r="A3" s="2" t="s">
        <v>797</v>
      </c>
      <c r="B3" s="2" t="s">
        <v>798</v>
      </c>
      <c r="C3" s="2" t="s">
        <v>799</v>
      </c>
      <c r="D3" s="2" t="s">
        <v>800</v>
      </c>
      <c r="E3" s="2" t="s">
        <v>801</v>
      </c>
      <c r="F3" s="2" t="s">
        <v>802</v>
      </c>
      <c r="G3" s="2" t="s">
        <v>803</v>
      </c>
      <c r="H3" s="2" t="s">
        <v>804</v>
      </c>
      <c r="I3" s="2" t="s">
        <v>55</v>
      </c>
      <c r="J3" s="2" t="s">
        <v>123</v>
      </c>
      <c r="K3" s="2" t="s">
        <v>392</v>
      </c>
      <c r="L3" s="2" t="s">
        <v>393</v>
      </c>
      <c r="M3" s="2" t="s">
        <v>482</v>
      </c>
    </row>
    <row r="4" spans="1:14" ht="21.75" customHeight="1" x14ac:dyDescent="0.2">
      <c r="A4" s="24" t="s">
        <v>805</v>
      </c>
      <c r="B4" s="24" t="s">
        <v>63</v>
      </c>
      <c r="C4" s="24" t="s">
        <v>806</v>
      </c>
      <c r="D4" s="24"/>
      <c r="E4" s="24"/>
      <c r="F4" s="24"/>
      <c r="G4" s="25" t="s">
        <v>807</v>
      </c>
      <c r="H4" s="24" t="s">
        <v>808</v>
      </c>
      <c r="I4" s="24" t="s">
        <v>809</v>
      </c>
      <c r="J4" s="25" t="s">
        <v>131</v>
      </c>
      <c r="K4" s="24" t="s">
        <v>810</v>
      </c>
      <c r="L4" s="24"/>
      <c r="M4" s="24" t="s">
        <v>811</v>
      </c>
    </row>
    <row r="5" spans="1:14" ht="21.75" customHeight="1" x14ac:dyDescent="0.2">
      <c r="A5" s="26" t="s">
        <v>812</v>
      </c>
      <c r="B5" s="26" t="s">
        <v>63</v>
      </c>
      <c r="C5" s="26" t="s">
        <v>806</v>
      </c>
      <c r="D5" s="26"/>
      <c r="E5" s="26"/>
      <c r="F5" s="26"/>
      <c r="G5" s="27" t="s">
        <v>813</v>
      </c>
      <c r="H5" s="26" t="s">
        <v>814</v>
      </c>
      <c r="I5" s="26" t="s">
        <v>815</v>
      </c>
      <c r="J5" s="28" t="s">
        <v>131</v>
      </c>
      <c r="K5" s="26" t="s">
        <v>816</v>
      </c>
      <c r="L5" s="26"/>
      <c r="M5" s="26" t="s">
        <v>817</v>
      </c>
    </row>
    <row r="6" spans="1:14" ht="21.75" customHeight="1" x14ac:dyDescent="0.2">
      <c r="A6" s="24" t="s">
        <v>818</v>
      </c>
      <c r="B6" s="24" t="s">
        <v>63</v>
      </c>
      <c r="C6" s="24" t="s">
        <v>806</v>
      </c>
      <c r="D6" s="24"/>
      <c r="E6" s="24"/>
      <c r="F6" s="24"/>
      <c r="G6" s="29" t="s">
        <v>819</v>
      </c>
      <c r="H6" s="24" t="s">
        <v>820</v>
      </c>
      <c r="I6" s="24" t="s">
        <v>821</v>
      </c>
      <c r="J6" s="25" t="s">
        <v>131</v>
      </c>
      <c r="K6" s="24" t="s">
        <v>822</v>
      </c>
      <c r="L6" s="24"/>
      <c r="M6" s="24" t="s">
        <v>823</v>
      </c>
    </row>
    <row r="7" spans="1:14" ht="21.75" customHeight="1" x14ac:dyDescent="0.2">
      <c r="A7" s="26" t="s">
        <v>824</v>
      </c>
      <c r="B7" s="26" t="s">
        <v>63</v>
      </c>
      <c r="C7" s="26" t="s">
        <v>825</v>
      </c>
      <c r="D7" s="26"/>
      <c r="E7" s="26"/>
      <c r="F7" s="26"/>
      <c r="G7" s="27" t="s">
        <v>813</v>
      </c>
      <c r="H7" s="26" t="s">
        <v>826</v>
      </c>
      <c r="I7" s="26" t="s">
        <v>827</v>
      </c>
      <c r="J7" s="28" t="s">
        <v>131</v>
      </c>
      <c r="K7" s="26" t="s">
        <v>828</v>
      </c>
      <c r="L7" s="26"/>
      <c r="M7" s="26" t="s">
        <v>829</v>
      </c>
    </row>
    <row r="8" spans="1:14" ht="21.75" customHeight="1" x14ac:dyDescent="0.2">
      <c r="A8" s="24" t="s">
        <v>830</v>
      </c>
      <c r="B8" s="24" t="s">
        <v>63</v>
      </c>
      <c r="C8" s="24" t="s">
        <v>831</v>
      </c>
      <c r="D8" s="24"/>
      <c r="E8" s="24"/>
      <c r="F8" s="24"/>
      <c r="G8" s="25" t="s">
        <v>807</v>
      </c>
      <c r="H8" s="24" t="s">
        <v>832</v>
      </c>
      <c r="I8" s="24" t="s">
        <v>833</v>
      </c>
      <c r="J8" s="25" t="s">
        <v>131</v>
      </c>
      <c r="K8" s="24" t="s">
        <v>834</v>
      </c>
      <c r="L8" s="24"/>
      <c r="M8" s="24" t="s">
        <v>835</v>
      </c>
    </row>
    <row r="9" spans="1:14" ht="21.75" customHeight="1" x14ac:dyDescent="0.2">
      <c r="A9" s="26" t="s">
        <v>836</v>
      </c>
      <c r="B9" s="26" t="s">
        <v>63</v>
      </c>
      <c r="C9" s="26" t="s">
        <v>837</v>
      </c>
      <c r="D9" s="26"/>
      <c r="E9" s="26"/>
      <c r="F9" s="26"/>
      <c r="G9" s="30" t="s">
        <v>838</v>
      </c>
      <c r="H9" s="26" t="s">
        <v>839</v>
      </c>
      <c r="I9" s="26" t="s">
        <v>840</v>
      </c>
      <c r="J9" s="28" t="s">
        <v>131</v>
      </c>
      <c r="K9" s="26" t="s">
        <v>841</v>
      </c>
      <c r="L9" s="26"/>
      <c r="M9" s="26" t="s">
        <v>842</v>
      </c>
    </row>
    <row r="10" spans="1:14" ht="21.75" customHeight="1" x14ac:dyDescent="0.2">
      <c r="A10" s="24" t="s">
        <v>843</v>
      </c>
      <c r="B10" s="24" t="s">
        <v>844</v>
      </c>
      <c r="C10" s="24" t="s">
        <v>806</v>
      </c>
      <c r="D10" s="24"/>
      <c r="E10" s="24" t="s">
        <v>376</v>
      </c>
      <c r="F10" s="24" t="s">
        <v>350</v>
      </c>
      <c r="G10" s="31" t="s">
        <v>813</v>
      </c>
      <c r="H10" s="24" t="s">
        <v>845</v>
      </c>
      <c r="I10" s="24" t="s">
        <v>846</v>
      </c>
      <c r="J10" s="25" t="s">
        <v>131</v>
      </c>
      <c r="K10" s="24" t="s">
        <v>847</v>
      </c>
      <c r="L10" s="24"/>
      <c r="M10" s="24" t="s">
        <v>848</v>
      </c>
    </row>
    <row r="11" spans="1:14" ht="21.75" customHeight="1" x14ac:dyDescent="0.2">
      <c r="A11" s="26" t="s">
        <v>849</v>
      </c>
      <c r="B11" s="26" t="s">
        <v>844</v>
      </c>
      <c r="C11" s="26"/>
      <c r="D11" s="26" t="s">
        <v>806</v>
      </c>
      <c r="E11" s="26" t="s">
        <v>374</v>
      </c>
      <c r="F11" s="26" t="s">
        <v>342</v>
      </c>
      <c r="G11" s="32" t="s">
        <v>819</v>
      </c>
      <c r="H11" s="26" t="s">
        <v>850</v>
      </c>
      <c r="I11" s="26" t="s">
        <v>851</v>
      </c>
      <c r="J11" s="28" t="s">
        <v>131</v>
      </c>
      <c r="K11" s="26" t="s">
        <v>852</v>
      </c>
      <c r="L11" s="26"/>
      <c r="M11" s="26" t="s">
        <v>853</v>
      </c>
    </row>
    <row r="12" spans="1:14" ht="21.75" customHeight="1" x14ac:dyDescent="0.2">
      <c r="A12" s="24" t="s">
        <v>854</v>
      </c>
      <c r="B12" s="24" t="s">
        <v>855</v>
      </c>
      <c r="C12" s="24"/>
      <c r="D12" s="24"/>
      <c r="E12" s="24"/>
      <c r="F12" s="24" t="s">
        <v>283</v>
      </c>
      <c r="G12" s="33" t="s">
        <v>838</v>
      </c>
      <c r="H12" s="24" t="s">
        <v>856</v>
      </c>
      <c r="I12" s="24" t="s">
        <v>857</v>
      </c>
      <c r="J12" s="25" t="s">
        <v>131</v>
      </c>
      <c r="K12" s="24" t="s">
        <v>858</v>
      </c>
      <c r="L12" s="24"/>
      <c r="M12" s="24" t="s">
        <v>859</v>
      </c>
    </row>
    <row r="13" spans="1:14" ht="21.75" customHeight="1" x14ac:dyDescent="0.2">
      <c r="A13" s="26" t="s">
        <v>860</v>
      </c>
      <c r="B13" s="26" t="s">
        <v>63</v>
      </c>
      <c r="C13" s="26" t="s">
        <v>861</v>
      </c>
      <c r="D13" s="26"/>
      <c r="E13" s="26"/>
      <c r="F13" s="26"/>
      <c r="G13" s="27" t="s">
        <v>813</v>
      </c>
      <c r="H13" s="26" t="s">
        <v>862</v>
      </c>
      <c r="I13" s="26" t="s">
        <v>863</v>
      </c>
      <c r="J13" s="28" t="s">
        <v>131</v>
      </c>
      <c r="K13" s="26" t="s">
        <v>864</v>
      </c>
      <c r="L13" s="26"/>
      <c r="M13" s="26" t="s">
        <v>865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558B2F"/>
  </sheetPr>
  <dimension ref="A1:O26"/>
  <sheetViews>
    <sheetView showGridLines="0" zoomScaleNormal="100" workbookViewId="0">
      <selection sqref="A1:O1"/>
    </sheetView>
  </sheetViews>
  <sheetFormatPr baseColWidth="10" defaultColWidth="8.6640625" defaultRowHeight="15" x14ac:dyDescent="0.2"/>
  <cols>
    <col min="1" max="1" width="18" customWidth="1"/>
    <col min="2" max="2" width="12" customWidth="1"/>
    <col min="3" max="3" width="14" customWidth="1"/>
    <col min="4" max="4" width="20" customWidth="1"/>
    <col min="5" max="5" width="30" customWidth="1"/>
    <col min="6" max="6" width="10" customWidth="1"/>
    <col min="7" max="7" width="30" customWidth="1"/>
    <col min="8" max="8" width="22" customWidth="1"/>
    <col min="9" max="9" width="16" customWidth="1"/>
    <col min="10" max="10" width="20" customWidth="1"/>
    <col min="11" max="11" width="18" customWidth="1"/>
    <col min="12" max="12" width="14" customWidth="1"/>
    <col min="13" max="13" width="18" customWidth="1"/>
    <col min="14" max="14" width="35" customWidth="1"/>
    <col min="15" max="15" width="40" customWidth="1"/>
  </cols>
  <sheetData>
    <row r="1" spans="1:15" ht="31.5" customHeight="1" x14ac:dyDescent="0.2">
      <c r="A1" s="68" t="s">
        <v>866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</row>
    <row r="2" spans="1:15" ht="21.75" customHeight="1" x14ac:dyDescent="0.2">
      <c r="A2" s="71" t="s">
        <v>867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</row>
    <row r="3" spans="1:15" ht="27.75" customHeight="1" x14ac:dyDescent="0.2">
      <c r="A3" s="5" t="s">
        <v>379</v>
      </c>
      <c r="B3" s="5" t="s">
        <v>380</v>
      </c>
      <c r="C3" s="5" t="s">
        <v>429</v>
      </c>
      <c r="D3" s="5" t="s">
        <v>868</v>
      </c>
      <c r="E3" s="5" t="s">
        <v>869</v>
      </c>
      <c r="F3" s="5" t="s">
        <v>870</v>
      </c>
      <c r="G3" s="5" t="s">
        <v>871</v>
      </c>
      <c r="H3" s="5" t="s">
        <v>872</v>
      </c>
      <c r="I3" s="5" t="s">
        <v>873</v>
      </c>
      <c r="J3" s="5" t="s">
        <v>874</v>
      </c>
      <c r="K3" s="5" t="s">
        <v>875</v>
      </c>
      <c r="L3" s="5" t="s">
        <v>392</v>
      </c>
      <c r="M3" s="5" t="s">
        <v>393</v>
      </c>
      <c r="N3" s="5" t="s">
        <v>482</v>
      </c>
      <c r="O3" s="5" t="s">
        <v>223</v>
      </c>
    </row>
    <row r="4" spans="1:15" ht="19.5" customHeight="1" x14ac:dyDescent="0.2">
      <c r="A4" s="9" t="s">
        <v>361</v>
      </c>
      <c r="B4" s="9" t="s">
        <v>208</v>
      </c>
      <c r="C4" s="9" t="s">
        <v>332</v>
      </c>
      <c r="D4" s="9" t="s">
        <v>495</v>
      </c>
      <c r="E4" s="11" t="s">
        <v>876</v>
      </c>
      <c r="F4" s="9">
        <v>0</v>
      </c>
      <c r="G4" s="9" t="s">
        <v>877</v>
      </c>
      <c r="H4" s="9" t="s">
        <v>131</v>
      </c>
      <c r="I4" s="9" t="b">
        <f>TRUE()</f>
        <v>1</v>
      </c>
      <c r="J4" s="9" t="s">
        <v>878</v>
      </c>
      <c r="K4" s="9"/>
      <c r="L4" s="9" t="s">
        <v>470</v>
      </c>
      <c r="M4" s="9"/>
      <c r="N4" s="9" t="s">
        <v>879</v>
      </c>
      <c r="O4" s="9" t="s">
        <v>880</v>
      </c>
    </row>
    <row r="5" spans="1:15" ht="19.5" customHeight="1" x14ac:dyDescent="0.2">
      <c r="A5" s="8" t="s">
        <v>374</v>
      </c>
      <c r="B5" s="8" t="s">
        <v>208</v>
      </c>
      <c r="C5" s="8" t="s">
        <v>342</v>
      </c>
      <c r="D5" s="8" t="s">
        <v>495</v>
      </c>
      <c r="E5" s="16" t="s">
        <v>876</v>
      </c>
      <c r="F5" s="8">
        <v>0</v>
      </c>
      <c r="G5" s="8" t="s">
        <v>877</v>
      </c>
      <c r="H5" s="8" t="s">
        <v>131</v>
      </c>
      <c r="I5" s="8" t="b">
        <f>TRUE()</f>
        <v>1</v>
      </c>
      <c r="J5" s="8" t="s">
        <v>878</v>
      </c>
      <c r="K5" s="8"/>
      <c r="L5" s="8" t="s">
        <v>470</v>
      </c>
      <c r="M5" s="8"/>
      <c r="N5" s="8" t="s">
        <v>879</v>
      </c>
      <c r="O5" s="8"/>
    </row>
    <row r="6" spans="1:15" ht="19.5" customHeight="1" x14ac:dyDescent="0.2">
      <c r="A6" s="9" t="s">
        <v>376</v>
      </c>
      <c r="B6" s="9" t="s">
        <v>208</v>
      </c>
      <c r="C6" s="9" t="s">
        <v>350</v>
      </c>
      <c r="D6" s="9" t="s">
        <v>495</v>
      </c>
      <c r="E6" s="34" t="s">
        <v>881</v>
      </c>
      <c r="F6" s="9">
        <v>20</v>
      </c>
      <c r="G6" s="9" t="s">
        <v>877</v>
      </c>
      <c r="H6" s="9" t="s">
        <v>131</v>
      </c>
      <c r="I6" s="9" t="b">
        <f>TRUE()</f>
        <v>1</v>
      </c>
      <c r="J6" s="9" t="s">
        <v>878</v>
      </c>
      <c r="K6" s="9"/>
      <c r="L6" s="9" t="s">
        <v>470</v>
      </c>
      <c r="M6" s="9"/>
      <c r="N6" s="9" t="s">
        <v>882</v>
      </c>
      <c r="O6" s="9" t="s">
        <v>883</v>
      </c>
    </row>
    <row r="7" spans="1:15" ht="19.5" customHeight="1" x14ac:dyDescent="0.2">
      <c r="A7" s="8" t="s">
        <v>366</v>
      </c>
      <c r="B7" s="8" t="s">
        <v>139</v>
      </c>
      <c r="C7" s="8" t="s">
        <v>332</v>
      </c>
      <c r="D7" s="8" t="s">
        <v>884</v>
      </c>
      <c r="E7" s="16" t="s">
        <v>876</v>
      </c>
      <c r="F7" s="8">
        <v>0</v>
      </c>
      <c r="G7" s="8" t="s">
        <v>877</v>
      </c>
      <c r="H7" s="8" t="s">
        <v>635</v>
      </c>
      <c r="I7" s="8" t="b">
        <f>FALSE()</f>
        <v>0</v>
      </c>
      <c r="J7" s="8"/>
      <c r="K7" s="8"/>
      <c r="L7" s="8" t="s">
        <v>885</v>
      </c>
      <c r="M7" s="8"/>
      <c r="N7" s="8" t="s">
        <v>886</v>
      </c>
      <c r="O7" s="8" t="s">
        <v>887</v>
      </c>
    </row>
    <row r="8" spans="1:15" ht="19.5" customHeight="1" x14ac:dyDescent="0.2">
      <c r="A8" s="9" t="s">
        <v>366</v>
      </c>
      <c r="B8" s="9" t="s">
        <v>198</v>
      </c>
      <c r="C8" s="9" t="s">
        <v>332</v>
      </c>
      <c r="D8" s="9" t="s">
        <v>495</v>
      </c>
      <c r="E8" s="34" t="s">
        <v>881</v>
      </c>
      <c r="F8" s="9">
        <v>7</v>
      </c>
      <c r="G8" s="9" t="s">
        <v>877</v>
      </c>
      <c r="H8" s="9" t="s">
        <v>635</v>
      </c>
      <c r="I8" s="9" t="b">
        <f>FALSE()</f>
        <v>0</v>
      </c>
      <c r="J8" s="9"/>
      <c r="K8" s="9"/>
      <c r="L8" s="9" t="s">
        <v>568</v>
      </c>
      <c r="M8" s="9"/>
      <c r="N8" s="9" t="s">
        <v>888</v>
      </c>
      <c r="O8" s="9" t="s">
        <v>889</v>
      </c>
    </row>
    <row r="9" spans="1:15" ht="19.5" customHeight="1" x14ac:dyDescent="0.2">
      <c r="A9" s="8" t="s">
        <v>366</v>
      </c>
      <c r="B9" s="8" t="s">
        <v>203</v>
      </c>
      <c r="C9" s="8" t="s">
        <v>332</v>
      </c>
      <c r="D9" s="8" t="s">
        <v>495</v>
      </c>
      <c r="E9" s="35" t="s">
        <v>881</v>
      </c>
      <c r="F9" s="8">
        <v>5</v>
      </c>
      <c r="G9" s="8" t="s">
        <v>877</v>
      </c>
      <c r="H9" s="8" t="s">
        <v>635</v>
      </c>
      <c r="I9" s="8" t="b">
        <f>FALSE()</f>
        <v>0</v>
      </c>
      <c r="J9" s="8"/>
      <c r="K9" s="8"/>
      <c r="L9" s="8" t="s">
        <v>890</v>
      </c>
      <c r="M9" s="8"/>
      <c r="N9" s="8" t="s">
        <v>891</v>
      </c>
      <c r="O9" s="8"/>
    </row>
    <row r="10" spans="1:15" ht="19.5" customHeight="1" x14ac:dyDescent="0.2">
      <c r="A10" s="9" t="s">
        <v>366</v>
      </c>
      <c r="B10" s="9" t="s">
        <v>188</v>
      </c>
      <c r="C10" s="9" t="s">
        <v>332</v>
      </c>
      <c r="D10" s="9" t="s">
        <v>495</v>
      </c>
      <c r="E10" s="34" t="s">
        <v>881</v>
      </c>
      <c r="F10" s="9">
        <v>15</v>
      </c>
      <c r="G10" s="9" t="s">
        <v>877</v>
      </c>
      <c r="H10" s="9" t="s">
        <v>635</v>
      </c>
      <c r="I10" s="9" t="b">
        <f>FALSE()</f>
        <v>0</v>
      </c>
      <c r="J10" s="9"/>
      <c r="K10" s="9"/>
      <c r="L10" s="9" t="s">
        <v>447</v>
      </c>
      <c r="M10" s="9"/>
      <c r="N10" s="9" t="s">
        <v>892</v>
      </c>
      <c r="O10" s="9" t="s">
        <v>893</v>
      </c>
    </row>
    <row r="11" spans="1:15" ht="19.5" customHeight="1" x14ac:dyDescent="0.2">
      <c r="A11" s="8" t="s">
        <v>366</v>
      </c>
      <c r="B11" s="8" t="s">
        <v>177</v>
      </c>
      <c r="C11" s="8" t="s">
        <v>332</v>
      </c>
      <c r="D11" s="8" t="s">
        <v>495</v>
      </c>
      <c r="E11" s="35" t="s">
        <v>881</v>
      </c>
      <c r="F11" s="8">
        <v>5</v>
      </c>
      <c r="G11" s="8" t="s">
        <v>877</v>
      </c>
      <c r="H11" s="8" t="s">
        <v>635</v>
      </c>
      <c r="I11" s="8" t="b">
        <f>FALSE()</f>
        <v>0</v>
      </c>
      <c r="J11" s="8"/>
      <c r="K11" s="8"/>
      <c r="L11" s="8" t="s">
        <v>449</v>
      </c>
      <c r="M11" s="8"/>
      <c r="N11" s="8" t="s">
        <v>894</v>
      </c>
      <c r="O11" s="8"/>
    </row>
    <row r="12" spans="1:15" ht="19.5" customHeight="1" x14ac:dyDescent="0.2">
      <c r="A12" s="9" t="s">
        <v>366</v>
      </c>
      <c r="B12" s="9" t="s">
        <v>183</v>
      </c>
      <c r="C12" s="9" t="s">
        <v>332</v>
      </c>
      <c r="D12" s="9" t="s">
        <v>495</v>
      </c>
      <c r="E12" s="34" t="s">
        <v>881</v>
      </c>
      <c r="F12" s="9">
        <v>12</v>
      </c>
      <c r="G12" s="9" t="s">
        <v>877</v>
      </c>
      <c r="H12" s="9" t="s">
        <v>635</v>
      </c>
      <c r="I12" s="9" t="b">
        <f>FALSE()</f>
        <v>0</v>
      </c>
      <c r="J12" s="9"/>
      <c r="K12" s="9"/>
      <c r="L12" s="9" t="s">
        <v>890</v>
      </c>
      <c r="M12" s="9"/>
      <c r="N12" s="9" t="s">
        <v>895</v>
      </c>
      <c r="O12" s="9"/>
    </row>
    <row r="13" spans="1:15" ht="19.5" customHeight="1" x14ac:dyDescent="0.2">
      <c r="A13" s="8" t="s">
        <v>366</v>
      </c>
      <c r="B13" s="8" t="s">
        <v>166</v>
      </c>
      <c r="C13" s="8" t="s">
        <v>332</v>
      </c>
      <c r="D13" s="8" t="s">
        <v>495</v>
      </c>
      <c r="E13" s="16" t="s">
        <v>876</v>
      </c>
      <c r="F13" s="8">
        <v>0</v>
      </c>
      <c r="G13" s="8" t="s">
        <v>877</v>
      </c>
      <c r="H13" s="8" t="s">
        <v>635</v>
      </c>
      <c r="I13" s="8" t="b">
        <f>FALSE()</f>
        <v>0</v>
      </c>
      <c r="J13" s="8"/>
      <c r="K13" s="8"/>
      <c r="L13" s="8" t="s">
        <v>896</v>
      </c>
      <c r="M13" s="8"/>
      <c r="N13" s="8" t="s">
        <v>897</v>
      </c>
      <c r="O13" s="8" t="s">
        <v>898</v>
      </c>
    </row>
    <row r="14" spans="1:15" ht="19.5" customHeight="1" x14ac:dyDescent="0.2">
      <c r="A14" s="9" t="s">
        <v>366</v>
      </c>
      <c r="B14" s="9" t="s">
        <v>145</v>
      </c>
      <c r="C14" s="9" t="s">
        <v>332</v>
      </c>
      <c r="D14" s="17" t="s">
        <v>227</v>
      </c>
      <c r="E14" s="34" t="s">
        <v>881</v>
      </c>
      <c r="F14" s="9">
        <v>16</v>
      </c>
      <c r="G14" s="9" t="s">
        <v>899</v>
      </c>
      <c r="H14" s="9" t="s">
        <v>635</v>
      </c>
      <c r="I14" s="9" t="b">
        <f>FALSE()</f>
        <v>0</v>
      </c>
      <c r="J14" s="9"/>
      <c r="K14" s="9"/>
      <c r="L14" s="9" t="s">
        <v>406</v>
      </c>
      <c r="M14" s="9"/>
      <c r="N14" s="9" t="s">
        <v>900</v>
      </c>
      <c r="O14" s="9" t="s">
        <v>901</v>
      </c>
    </row>
    <row r="15" spans="1:15" ht="19.5" customHeight="1" x14ac:dyDescent="0.2">
      <c r="A15" s="8" t="s">
        <v>366</v>
      </c>
      <c r="B15" s="8" t="s">
        <v>145</v>
      </c>
      <c r="C15" s="8" t="s">
        <v>332</v>
      </c>
      <c r="D15" s="36" t="s">
        <v>902</v>
      </c>
      <c r="E15" s="35" t="s">
        <v>881</v>
      </c>
      <c r="F15" s="8">
        <v>0</v>
      </c>
      <c r="G15" s="8" t="s">
        <v>903</v>
      </c>
      <c r="H15" s="8" t="s">
        <v>635</v>
      </c>
      <c r="I15" s="8" t="b">
        <f>FALSE()</f>
        <v>0</v>
      </c>
      <c r="J15" s="8"/>
      <c r="K15" s="8"/>
      <c r="L15" s="8" t="s">
        <v>406</v>
      </c>
      <c r="M15" s="8"/>
      <c r="N15" s="8" t="s">
        <v>904</v>
      </c>
      <c r="O15" s="8" t="s">
        <v>905</v>
      </c>
    </row>
    <row r="16" spans="1:15" ht="19.5" customHeight="1" x14ac:dyDescent="0.2">
      <c r="A16" s="9" t="s">
        <v>366</v>
      </c>
      <c r="B16" s="9" t="s">
        <v>145</v>
      </c>
      <c r="C16" s="9" t="s">
        <v>332</v>
      </c>
      <c r="D16" s="37" t="s">
        <v>906</v>
      </c>
      <c r="E16" s="34" t="s">
        <v>881</v>
      </c>
      <c r="F16" s="9">
        <v>2.1</v>
      </c>
      <c r="G16" s="9" t="s">
        <v>907</v>
      </c>
      <c r="H16" s="9" t="s">
        <v>635</v>
      </c>
      <c r="I16" s="9" t="b">
        <f>FALSE()</f>
        <v>0</v>
      </c>
      <c r="J16" s="9"/>
      <c r="K16" s="9"/>
      <c r="L16" s="9" t="s">
        <v>406</v>
      </c>
      <c r="M16" s="9"/>
      <c r="N16" s="9" t="s">
        <v>908</v>
      </c>
      <c r="O16" s="9" t="s">
        <v>909</v>
      </c>
    </row>
    <row r="17" spans="1:15" ht="19.5" customHeight="1" x14ac:dyDescent="0.2">
      <c r="A17" s="8" t="s">
        <v>366</v>
      </c>
      <c r="B17" s="8" t="s">
        <v>145</v>
      </c>
      <c r="C17" s="8" t="s">
        <v>332</v>
      </c>
      <c r="D17" s="13" t="s">
        <v>910</v>
      </c>
      <c r="E17" s="35" t="s">
        <v>881</v>
      </c>
      <c r="F17" s="8">
        <v>9.65</v>
      </c>
      <c r="G17" s="8" t="s">
        <v>907</v>
      </c>
      <c r="H17" s="8" t="s">
        <v>635</v>
      </c>
      <c r="I17" s="8" t="b">
        <f>FALSE()</f>
        <v>0</v>
      </c>
      <c r="J17" s="8"/>
      <c r="K17" s="8"/>
      <c r="L17" s="8" t="s">
        <v>406</v>
      </c>
      <c r="M17" s="8"/>
      <c r="N17" s="8" t="s">
        <v>908</v>
      </c>
      <c r="O17" s="8" t="s">
        <v>911</v>
      </c>
    </row>
    <row r="18" spans="1:15" ht="19.5" customHeight="1" x14ac:dyDescent="0.2">
      <c r="A18" s="9" t="s">
        <v>366</v>
      </c>
      <c r="B18" s="9" t="s">
        <v>145</v>
      </c>
      <c r="C18" s="9" t="s">
        <v>332</v>
      </c>
      <c r="D18" s="38" t="s">
        <v>912</v>
      </c>
      <c r="E18" s="34" t="s">
        <v>881</v>
      </c>
      <c r="F18" s="9">
        <v>18</v>
      </c>
      <c r="G18" s="9" t="s">
        <v>913</v>
      </c>
      <c r="H18" s="9" t="s">
        <v>635</v>
      </c>
      <c r="I18" s="9" t="b">
        <f>FALSE()</f>
        <v>0</v>
      </c>
      <c r="J18" s="9"/>
      <c r="K18" s="9" t="s">
        <v>606</v>
      </c>
      <c r="L18" s="9" t="s">
        <v>408</v>
      </c>
      <c r="M18" s="9"/>
      <c r="N18" s="9" t="s">
        <v>496</v>
      </c>
      <c r="O18" s="9" t="s">
        <v>914</v>
      </c>
    </row>
    <row r="19" spans="1:15" ht="19.5" customHeight="1" x14ac:dyDescent="0.2">
      <c r="A19" s="8" t="s">
        <v>366</v>
      </c>
      <c r="B19" s="8" t="s">
        <v>193</v>
      </c>
      <c r="C19" s="8" t="s">
        <v>332</v>
      </c>
      <c r="D19" s="8" t="s">
        <v>495</v>
      </c>
      <c r="E19" s="16" t="s">
        <v>876</v>
      </c>
      <c r="F19" s="8">
        <v>0</v>
      </c>
      <c r="G19" s="8" t="s">
        <v>877</v>
      </c>
      <c r="H19" s="8" t="s">
        <v>635</v>
      </c>
      <c r="I19" s="8" t="b">
        <f>FALSE()</f>
        <v>0</v>
      </c>
      <c r="J19" s="8"/>
      <c r="K19" s="8"/>
      <c r="L19" s="8" t="s">
        <v>915</v>
      </c>
      <c r="M19" s="8"/>
      <c r="N19" s="8" t="s">
        <v>916</v>
      </c>
      <c r="O19" s="8" t="s">
        <v>917</v>
      </c>
    </row>
    <row r="20" spans="1:15" ht="19.5" customHeight="1" x14ac:dyDescent="0.2">
      <c r="A20" s="9" t="s">
        <v>366</v>
      </c>
      <c r="B20" s="9" t="s">
        <v>150</v>
      </c>
      <c r="C20" s="9" t="s">
        <v>332</v>
      </c>
      <c r="D20" s="9" t="s">
        <v>918</v>
      </c>
      <c r="E20" s="34" t="s">
        <v>881</v>
      </c>
      <c r="F20" s="9">
        <v>19</v>
      </c>
      <c r="G20" s="9" t="s">
        <v>877</v>
      </c>
      <c r="H20" s="9" t="s">
        <v>635</v>
      </c>
      <c r="I20" s="9" t="b">
        <f>FALSE()</f>
        <v>0</v>
      </c>
      <c r="J20" s="9"/>
      <c r="K20" s="9"/>
      <c r="L20" s="9" t="s">
        <v>919</v>
      </c>
      <c r="M20" s="9"/>
      <c r="N20" s="9" t="s">
        <v>920</v>
      </c>
      <c r="O20" s="9" t="s">
        <v>921</v>
      </c>
    </row>
    <row r="21" spans="1:15" ht="19.5" customHeight="1" x14ac:dyDescent="0.2">
      <c r="A21" s="8" t="s">
        <v>366</v>
      </c>
      <c r="B21" s="8" t="s">
        <v>161</v>
      </c>
      <c r="C21" s="8" t="s">
        <v>332</v>
      </c>
      <c r="D21" s="8" t="s">
        <v>495</v>
      </c>
      <c r="E21" s="35" t="s">
        <v>881</v>
      </c>
      <c r="F21" s="8">
        <v>15</v>
      </c>
      <c r="G21" s="8" t="s">
        <v>877</v>
      </c>
      <c r="H21" s="8" t="s">
        <v>635</v>
      </c>
      <c r="I21" s="8" t="b">
        <f>FALSE()</f>
        <v>0</v>
      </c>
      <c r="J21" s="8"/>
      <c r="K21" s="8"/>
      <c r="L21" s="8" t="s">
        <v>406</v>
      </c>
      <c r="M21" s="8"/>
      <c r="N21" s="8" t="s">
        <v>922</v>
      </c>
      <c r="O21" s="8"/>
    </row>
    <row r="22" spans="1:15" ht="19.5" customHeight="1" x14ac:dyDescent="0.2">
      <c r="A22" s="9" t="s">
        <v>366</v>
      </c>
      <c r="B22" s="9" t="s">
        <v>132</v>
      </c>
      <c r="C22" s="9" t="s">
        <v>332</v>
      </c>
      <c r="D22" s="9" t="s">
        <v>918</v>
      </c>
      <c r="E22" s="34" t="s">
        <v>881</v>
      </c>
      <c r="F22" s="9">
        <v>21</v>
      </c>
      <c r="G22" s="9" t="s">
        <v>877</v>
      </c>
      <c r="H22" s="9" t="s">
        <v>635</v>
      </c>
      <c r="I22" s="9" t="b">
        <f>FALSE()</f>
        <v>0</v>
      </c>
      <c r="J22" s="9"/>
      <c r="K22" s="9"/>
      <c r="L22" s="9" t="s">
        <v>923</v>
      </c>
      <c r="M22" s="9"/>
      <c r="N22" s="9" t="s">
        <v>924</v>
      </c>
      <c r="O22" s="9"/>
    </row>
    <row r="23" spans="1:15" ht="19.5" customHeight="1" x14ac:dyDescent="0.2">
      <c r="A23" s="8" t="s">
        <v>366</v>
      </c>
      <c r="B23" s="8" t="s">
        <v>214</v>
      </c>
      <c r="C23" s="8" t="s">
        <v>332</v>
      </c>
      <c r="D23" s="8" t="s">
        <v>918</v>
      </c>
      <c r="E23" s="35" t="s">
        <v>881</v>
      </c>
      <c r="F23" s="8">
        <v>22</v>
      </c>
      <c r="G23" s="8" t="s">
        <v>877</v>
      </c>
      <c r="H23" s="8" t="s">
        <v>635</v>
      </c>
      <c r="I23" s="8" t="b">
        <f>FALSE()</f>
        <v>0</v>
      </c>
      <c r="J23" s="8"/>
      <c r="K23" s="8"/>
      <c r="L23" s="8" t="s">
        <v>925</v>
      </c>
      <c r="M23" s="8"/>
      <c r="N23" s="8" t="s">
        <v>926</v>
      </c>
      <c r="O23" s="8"/>
    </row>
    <row r="24" spans="1:15" ht="19.5" customHeight="1" x14ac:dyDescent="0.2">
      <c r="A24" s="9" t="s">
        <v>366</v>
      </c>
      <c r="B24" s="9" t="s">
        <v>155</v>
      </c>
      <c r="C24" s="9" t="s">
        <v>332</v>
      </c>
      <c r="D24" s="9" t="s">
        <v>927</v>
      </c>
      <c r="E24" s="34" t="s">
        <v>881</v>
      </c>
      <c r="F24" s="9">
        <v>18</v>
      </c>
      <c r="G24" s="9" t="s">
        <v>877</v>
      </c>
      <c r="H24" s="9" t="s">
        <v>635</v>
      </c>
      <c r="I24" s="9" t="b">
        <f>FALSE()</f>
        <v>0</v>
      </c>
      <c r="J24" s="9"/>
      <c r="K24" s="9"/>
      <c r="L24" s="9" t="s">
        <v>928</v>
      </c>
      <c r="M24" s="9"/>
      <c r="N24" s="9" t="s">
        <v>929</v>
      </c>
      <c r="O24" s="9"/>
    </row>
    <row r="25" spans="1:15" ht="19.5" customHeight="1" x14ac:dyDescent="0.2">
      <c r="A25" s="8" t="s">
        <v>366</v>
      </c>
      <c r="B25" s="8" t="s">
        <v>124</v>
      </c>
      <c r="C25" s="8" t="s">
        <v>332</v>
      </c>
      <c r="D25" s="8" t="s">
        <v>918</v>
      </c>
      <c r="E25" s="35" t="s">
        <v>881</v>
      </c>
      <c r="F25" s="8">
        <v>14</v>
      </c>
      <c r="G25" s="8" t="s">
        <v>877</v>
      </c>
      <c r="H25" s="8" t="s">
        <v>635</v>
      </c>
      <c r="I25" s="8" t="b">
        <f>FALSE()</f>
        <v>0</v>
      </c>
      <c r="J25" s="8"/>
      <c r="K25" s="8"/>
      <c r="L25" s="8" t="s">
        <v>930</v>
      </c>
      <c r="M25" s="8"/>
      <c r="N25" s="8" t="s">
        <v>931</v>
      </c>
      <c r="O25" s="8"/>
    </row>
    <row r="26" spans="1:15" ht="19.5" customHeight="1" x14ac:dyDescent="0.2">
      <c r="A26" s="9" t="s">
        <v>366</v>
      </c>
      <c r="B26" s="9" t="s">
        <v>172</v>
      </c>
      <c r="C26" s="9" t="s">
        <v>332</v>
      </c>
      <c r="D26" s="9" t="s">
        <v>495</v>
      </c>
      <c r="E26" s="34" t="s">
        <v>881</v>
      </c>
      <c r="F26" s="9">
        <v>15</v>
      </c>
      <c r="G26" s="9" t="s">
        <v>877</v>
      </c>
      <c r="H26" s="9" t="s">
        <v>635</v>
      </c>
      <c r="I26" s="9" t="b">
        <f>FALSE()</f>
        <v>0</v>
      </c>
      <c r="J26" s="9"/>
      <c r="K26" s="9"/>
      <c r="L26" s="9" t="s">
        <v>932</v>
      </c>
      <c r="M26" s="9"/>
      <c r="N26" s="9" t="s">
        <v>933</v>
      </c>
      <c r="O26" s="9"/>
    </row>
  </sheetData>
  <mergeCells count="2">
    <mergeCell ref="A1:O1"/>
    <mergeCell ref="A2:O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D22C-F677-7B42-953D-F30410F67583}">
  <sheetPr>
    <tabColor rgb="FF558B2F"/>
  </sheetPr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558B2F"/>
  </sheetPr>
  <dimension ref="A1:N10"/>
  <sheetViews>
    <sheetView showGridLines="0" zoomScaleNormal="100" workbookViewId="0">
      <selection sqref="A1:N1"/>
    </sheetView>
  </sheetViews>
  <sheetFormatPr baseColWidth="10" defaultColWidth="8.6640625" defaultRowHeight="15" x14ac:dyDescent="0.2"/>
  <cols>
    <col min="1" max="1" width="18" customWidth="1"/>
    <col min="2" max="2" width="12" customWidth="1"/>
    <col min="3" max="3" width="14" customWidth="1"/>
    <col min="4" max="4" width="20" customWidth="1"/>
    <col min="5" max="5" width="12" customWidth="1"/>
    <col min="6" max="7" width="16" customWidth="1"/>
    <col min="8" max="8" width="40" customWidth="1"/>
    <col min="9" max="9" width="20" customWidth="1"/>
    <col min="10" max="10" width="18" customWidth="1"/>
    <col min="11" max="11" width="20" customWidth="1"/>
    <col min="12" max="12" width="14" customWidth="1"/>
    <col min="13" max="13" width="35" customWidth="1"/>
    <col min="14" max="14" width="40" customWidth="1"/>
  </cols>
  <sheetData>
    <row r="1" spans="1:14" ht="31.5" customHeight="1" x14ac:dyDescent="0.2">
      <c r="A1" s="68" t="s">
        <v>934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 ht="21.75" customHeight="1" x14ac:dyDescent="0.2">
      <c r="A2" s="71" t="s">
        <v>935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7.75" customHeight="1" x14ac:dyDescent="0.2">
      <c r="A3" s="5" t="s">
        <v>379</v>
      </c>
      <c r="B3" s="5" t="s">
        <v>380</v>
      </c>
      <c r="C3" s="5" t="s">
        <v>429</v>
      </c>
      <c r="D3" s="5" t="s">
        <v>936</v>
      </c>
      <c r="E3" s="5" t="s">
        <v>937</v>
      </c>
      <c r="F3" s="5" t="s">
        <v>385</v>
      </c>
      <c r="G3" s="5" t="s">
        <v>386</v>
      </c>
      <c r="H3" s="5" t="s">
        <v>938</v>
      </c>
      <c r="I3" s="5" t="s">
        <v>939</v>
      </c>
      <c r="J3" s="5" t="s">
        <v>940</v>
      </c>
      <c r="K3" s="5" t="s">
        <v>941</v>
      </c>
      <c r="L3" s="5" t="s">
        <v>392</v>
      </c>
      <c r="M3" s="5" t="s">
        <v>482</v>
      </c>
      <c r="N3" s="5" t="s">
        <v>223</v>
      </c>
    </row>
    <row r="4" spans="1:14" ht="18" customHeight="1" x14ac:dyDescent="0.2">
      <c r="A4" s="9" t="s">
        <v>942</v>
      </c>
      <c r="B4" s="9" t="s">
        <v>208</v>
      </c>
      <c r="C4" s="9" t="s">
        <v>943</v>
      </c>
      <c r="D4" s="9" t="s">
        <v>944</v>
      </c>
      <c r="E4" s="9"/>
      <c r="F4" s="9">
        <v>316.7</v>
      </c>
      <c r="G4" s="9" t="s">
        <v>945</v>
      </c>
      <c r="H4" s="9" t="s">
        <v>946</v>
      </c>
      <c r="I4" s="9" t="s">
        <v>131</v>
      </c>
      <c r="J4" s="9" t="s">
        <v>131</v>
      </c>
      <c r="K4" s="9" t="s">
        <v>131</v>
      </c>
      <c r="L4" s="9" t="s">
        <v>947</v>
      </c>
      <c r="M4" s="9" t="s">
        <v>948</v>
      </c>
      <c r="N4" s="9" t="s">
        <v>949</v>
      </c>
    </row>
    <row r="5" spans="1:14" ht="18" customHeight="1" x14ac:dyDescent="0.2">
      <c r="A5" s="8" t="s">
        <v>950</v>
      </c>
      <c r="B5" s="8" t="s">
        <v>208</v>
      </c>
      <c r="C5" s="8" t="s">
        <v>951</v>
      </c>
      <c r="D5" s="8" t="s">
        <v>944</v>
      </c>
      <c r="E5" s="8"/>
      <c r="F5" s="8">
        <v>28.74</v>
      </c>
      <c r="G5" s="8" t="s">
        <v>952</v>
      </c>
      <c r="H5" s="8" t="s">
        <v>953</v>
      </c>
      <c r="I5" s="8" t="s">
        <v>131</v>
      </c>
      <c r="J5" s="8" t="s">
        <v>131</v>
      </c>
      <c r="K5" s="8" t="s">
        <v>131</v>
      </c>
      <c r="L5" s="8" t="s">
        <v>439</v>
      </c>
      <c r="M5" s="8" t="s">
        <v>948</v>
      </c>
      <c r="N5" s="8" t="s">
        <v>954</v>
      </c>
    </row>
    <row r="6" spans="1:14" ht="18" customHeight="1" x14ac:dyDescent="0.2">
      <c r="A6" s="9" t="s">
        <v>955</v>
      </c>
      <c r="B6" s="9" t="s">
        <v>208</v>
      </c>
      <c r="C6" s="9" t="s">
        <v>956</v>
      </c>
      <c r="D6" s="9" t="s">
        <v>944</v>
      </c>
      <c r="E6" s="9"/>
      <c r="F6" s="9">
        <v>262.89999999999998</v>
      </c>
      <c r="G6" s="9" t="s">
        <v>957</v>
      </c>
      <c r="H6" s="9" t="s">
        <v>958</v>
      </c>
      <c r="I6" s="9" t="s">
        <v>131</v>
      </c>
      <c r="J6" s="9" t="s">
        <v>131</v>
      </c>
      <c r="K6" s="9" t="s">
        <v>131</v>
      </c>
      <c r="L6" s="9" t="s">
        <v>947</v>
      </c>
      <c r="M6" s="9" t="s">
        <v>948</v>
      </c>
      <c r="N6" s="9" t="s">
        <v>959</v>
      </c>
    </row>
    <row r="7" spans="1:14" ht="18" customHeight="1" x14ac:dyDescent="0.2">
      <c r="A7" s="8" t="s">
        <v>960</v>
      </c>
      <c r="B7" s="8" t="s">
        <v>208</v>
      </c>
      <c r="C7" s="8" t="s">
        <v>961</v>
      </c>
      <c r="D7" s="8" t="s">
        <v>944</v>
      </c>
      <c r="E7" s="8"/>
      <c r="F7" s="8">
        <v>0.5282</v>
      </c>
      <c r="G7" s="8" t="s">
        <v>962</v>
      </c>
      <c r="H7" s="8" t="s">
        <v>963</v>
      </c>
      <c r="I7" s="8" t="s">
        <v>635</v>
      </c>
      <c r="J7" s="8" t="s">
        <v>635</v>
      </c>
      <c r="K7" s="8" t="s">
        <v>131</v>
      </c>
      <c r="L7" s="8" t="s">
        <v>406</v>
      </c>
      <c r="M7" s="8" t="s">
        <v>964</v>
      </c>
      <c r="N7" s="8" t="s">
        <v>965</v>
      </c>
    </row>
    <row r="8" spans="1:14" ht="18" customHeight="1" x14ac:dyDescent="0.2">
      <c r="A8" s="9" t="s">
        <v>950</v>
      </c>
      <c r="B8" s="9" t="s">
        <v>139</v>
      </c>
      <c r="C8" s="9" t="s">
        <v>951</v>
      </c>
      <c r="D8" s="9" t="s">
        <v>395</v>
      </c>
      <c r="E8" s="9">
        <v>5</v>
      </c>
      <c r="F8" s="9"/>
      <c r="G8" s="9"/>
      <c r="H8" s="9" t="s">
        <v>966</v>
      </c>
      <c r="I8" s="9" t="s">
        <v>635</v>
      </c>
      <c r="J8" s="9" t="s">
        <v>635</v>
      </c>
      <c r="K8" s="9" t="s">
        <v>131</v>
      </c>
      <c r="L8" s="9" t="s">
        <v>885</v>
      </c>
      <c r="M8" s="9" t="s">
        <v>967</v>
      </c>
      <c r="N8" s="9" t="s">
        <v>968</v>
      </c>
    </row>
    <row r="9" spans="1:14" ht="18" customHeight="1" x14ac:dyDescent="0.2">
      <c r="A9" s="8" t="s">
        <v>955</v>
      </c>
      <c r="B9" s="8" t="s">
        <v>198</v>
      </c>
      <c r="C9" s="8" t="s">
        <v>956</v>
      </c>
      <c r="D9" s="8" t="s">
        <v>944</v>
      </c>
      <c r="E9" s="8"/>
      <c r="F9" s="8">
        <v>3.6</v>
      </c>
      <c r="G9" s="8" t="s">
        <v>969</v>
      </c>
      <c r="H9" s="8" t="s">
        <v>970</v>
      </c>
      <c r="I9" s="8" t="s">
        <v>635</v>
      </c>
      <c r="J9" s="8" t="s">
        <v>635</v>
      </c>
      <c r="K9" s="8" t="s">
        <v>131</v>
      </c>
      <c r="L9" s="8" t="s">
        <v>406</v>
      </c>
      <c r="M9" s="8" t="s">
        <v>971</v>
      </c>
      <c r="N9" s="8"/>
    </row>
    <row r="10" spans="1:14" ht="18" customHeight="1" x14ac:dyDescent="0.2">
      <c r="A10" s="9" t="s">
        <v>950</v>
      </c>
      <c r="B10" s="9" t="s">
        <v>188</v>
      </c>
      <c r="C10" s="9" t="s">
        <v>951</v>
      </c>
      <c r="D10" s="9" t="s">
        <v>972</v>
      </c>
      <c r="E10" s="9"/>
      <c r="F10" s="9"/>
      <c r="G10" s="9"/>
      <c r="H10" s="9" t="s">
        <v>973</v>
      </c>
      <c r="I10" s="9" t="s">
        <v>635</v>
      </c>
      <c r="J10" s="9" t="s">
        <v>635</v>
      </c>
      <c r="K10" s="9" t="s">
        <v>635</v>
      </c>
      <c r="L10" s="9" t="s">
        <v>416</v>
      </c>
      <c r="M10" s="9" t="s">
        <v>974</v>
      </c>
      <c r="N10" s="9" t="s">
        <v>975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558B2F"/>
  </sheetPr>
  <dimension ref="A1:S12"/>
  <sheetViews>
    <sheetView showGridLines="0" zoomScaleNormal="100" workbookViewId="0">
      <selection sqref="A1:N1"/>
    </sheetView>
  </sheetViews>
  <sheetFormatPr baseColWidth="10" defaultColWidth="8.6640625" defaultRowHeight="15" x14ac:dyDescent="0.2"/>
  <cols>
    <col min="1" max="2" width="18" customWidth="1"/>
    <col min="3" max="3" width="22" customWidth="1"/>
    <col min="4" max="4" width="28" customWidth="1"/>
    <col min="5" max="5" width="22" customWidth="1"/>
    <col min="6" max="6" width="18" customWidth="1"/>
    <col min="7" max="7" width="12" customWidth="1"/>
    <col min="8" max="9" width="14" customWidth="1"/>
    <col min="10" max="10" width="16" customWidth="1"/>
    <col min="11" max="11" width="12" customWidth="1"/>
    <col min="12" max="12" width="24" customWidth="1"/>
    <col min="13" max="14" width="16" customWidth="1"/>
    <col min="15" max="15" width="18" customWidth="1"/>
    <col min="16" max="16" width="28" customWidth="1"/>
    <col min="17" max="17" width="12" customWidth="1"/>
    <col min="18" max="18" width="25" customWidth="1"/>
    <col min="19" max="19" width="40" customWidth="1"/>
  </cols>
  <sheetData>
    <row r="1" spans="1:19" ht="31.5" customHeight="1" x14ac:dyDescent="0.2">
      <c r="A1" s="68" t="s">
        <v>976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9" ht="21.75" customHeight="1" x14ac:dyDescent="0.2">
      <c r="A2" s="71" t="s">
        <v>977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9" ht="27.75" customHeight="1" x14ac:dyDescent="0.2">
      <c r="A3" s="5" t="s">
        <v>379</v>
      </c>
      <c r="B3" s="5" t="s">
        <v>978</v>
      </c>
      <c r="C3" s="5" t="s">
        <v>979</v>
      </c>
      <c r="D3" s="5" t="s">
        <v>980</v>
      </c>
      <c r="E3" s="5" t="s">
        <v>763</v>
      </c>
      <c r="F3" s="5" t="s">
        <v>981</v>
      </c>
      <c r="G3" s="5" t="s">
        <v>982</v>
      </c>
      <c r="H3" s="5" t="s">
        <v>983</v>
      </c>
      <c r="I3" s="5" t="s">
        <v>984</v>
      </c>
      <c r="J3" s="5" t="s">
        <v>985</v>
      </c>
      <c r="K3" s="5" t="s">
        <v>986</v>
      </c>
      <c r="L3" s="5" t="s">
        <v>987</v>
      </c>
      <c r="M3" s="5" t="s">
        <v>988</v>
      </c>
      <c r="N3" s="5" t="s">
        <v>989</v>
      </c>
      <c r="O3" s="5" t="s">
        <v>990</v>
      </c>
      <c r="P3" s="5" t="s">
        <v>991</v>
      </c>
      <c r="Q3" s="5" t="s">
        <v>992</v>
      </c>
      <c r="R3" s="5" t="s">
        <v>993</v>
      </c>
      <c r="S3" s="5" t="s">
        <v>223</v>
      </c>
    </row>
    <row r="4" spans="1:19" ht="21.75" customHeight="1" x14ac:dyDescent="0.2">
      <c r="A4" s="9" t="s">
        <v>376</v>
      </c>
      <c r="B4" s="9" t="s">
        <v>208</v>
      </c>
      <c r="C4" s="9" t="s">
        <v>994</v>
      </c>
      <c r="D4" s="9" t="s">
        <v>995</v>
      </c>
      <c r="E4" s="18" t="s">
        <v>996</v>
      </c>
      <c r="F4" s="9" t="s">
        <v>395</v>
      </c>
      <c r="G4" s="9">
        <v>18.100000000000001</v>
      </c>
      <c r="H4" s="9"/>
      <c r="I4" s="9"/>
      <c r="J4" s="9"/>
      <c r="K4" s="9"/>
      <c r="L4" s="18" t="s">
        <v>997</v>
      </c>
      <c r="M4" s="9" t="s">
        <v>470</v>
      </c>
      <c r="N4" s="9" t="s">
        <v>998</v>
      </c>
      <c r="O4" s="9" t="s">
        <v>999</v>
      </c>
      <c r="P4" s="9" t="s">
        <v>1000</v>
      </c>
      <c r="Q4" s="9" t="s">
        <v>635</v>
      </c>
      <c r="R4" s="9" t="s">
        <v>1001</v>
      </c>
      <c r="S4" s="9" t="s">
        <v>1002</v>
      </c>
    </row>
    <row r="5" spans="1:19" ht="21.75" customHeight="1" x14ac:dyDescent="0.2">
      <c r="A5" s="8" t="s">
        <v>376</v>
      </c>
      <c r="B5" s="8" t="s">
        <v>208</v>
      </c>
      <c r="C5" s="8" t="s">
        <v>994</v>
      </c>
      <c r="D5" s="8" t="s">
        <v>1003</v>
      </c>
      <c r="E5" s="13" t="s">
        <v>996</v>
      </c>
      <c r="F5" s="8" t="s">
        <v>395</v>
      </c>
      <c r="G5" s="8">
        <v>24.3</v>
      </c>
      <c r="H5" s="8"/>
      <c r="I5" s="8"/>
      <c r="J5" s="8"/>
      <c r="K5" s="8"/>
      <c r="L5" s="13" t="s">
        <v>997</v>
      </c>
      <c r="M5" s="8" t="s">
        <v>470</v>
      </c>
      <c r="N5" s="8" t="s">
        <v>998</v>
      </c>
      <c r="O5" s="8" t="s">
        <v>999</v>
      </c>
      <c r="P5" s="8" t="s">
        <v>1000</v>
      </c>
      <c r="Q5" s="8" t="s">
        <v>635</v>
      </c>
      <c r="R5" s="8" t="s">
        <v>1001</v>
      </c>
      <c r="S5" s="8"/>
    </row>
    <row r="6" spans="1:19" ht="21.75" customHeight="1" x14ac:dyDescent="0.2">
      <c r="A6" s="9" t="s">
        <v>376</v>
      </c>
      <c r="B6" s="9" t="s">
        <v>208</v>
      </c>
      <c r="C6" s="9" t="s">
        <v>994</v>
      </c>
      <c r="D6" s="9"/>
      <c r="E6" s="18" t="s">
        <v>996</v>
      </c>
      <c r="F6" s="9" t="s">
        <v>395</v>
      </c>
      <c r="G6" s="9">
        <v>35.9</v>
      </c>
      <c r="H6" s="9"/>
      <c r="I6" s="9"/>
      <c r="J6" s="9"/>
      <c r="K6" s="9"/>
      <c r="L6" s="18" t="s">
        <v>997</v>
      </c>
      <c r="M6" s="9" t="s">
        <v>470</v>
      </c>
      <c r="N6" s="9" t="s">
        <v>998</v>
      </c>
      <c r="O6" s="9" t="s">
        <v>999</v>
      </c>
      <c r="P6" s="9" t="s">
        <v>1000</v>
      </c>
      <c r="Q6" s="9" t="s">
        <v>635</v>
      </c>
      <c r="R6" s="9" t="s">
        <v>1001</v>
      </c>
      <c r="S6" s="9" t="s">
        <v>1004</v>
      </c>
    </row>
    <row r="7" spans="1:19" ht="21.75" customHeight="1" x14ac:dyDescent="0.2">
      <c r="A7" s="8" t="s">
        <v>366</v>
      </c>
      <c r="B7" s="8" t="s">
        <v>183</v>
      </c>
      <c r="C7" s="8" t="s">
        <v>1005</v>
      </c>
      <c r="D7" s="8"/>
      <c r="E7" s="13" t="s">
        <v>996</v>
      </c>
      <c r="F7" s="8" t="s">
        <v>395</v>
      </c>
      <c r="G7" s="8"/>
      <c r="H7" s="8"/>
      <c r="I7" s="8"/>
      <c r="J7" s="8"/>
      <c r="K7" s="8"/>
      <c r="L7" s="15" t="s">
        <v>1006</v>
      </c>
      <c r="M7" s="8" t="s">
        <v>1007</v>
      </c>
      <c r="N7" s="8"/>
      <c r="O7" s="8" t="s">
        <v>1008</v>
      </c>
      <c r="P7" s="8" t="s">
        <v>1009</v>
      </c>
      <c r="Q7" s="8" t="s">
        <v>635</v>
      </c>
      <c r="R7" s="8" t="s">
        <v>1010</v>
      </c>
      <c r="S7" s="8" t="s">
        <v>1011</v>
      </c>
    </row>
    <row r="8" spans="1:19" ht="21.75" customHeight="1" x14ac:dyDescent="0.2">
      <c r="A8" s="9" t="s">
        <v>366</v>
      </c>
      <c r="B8" s="9" t="s">
        <v>183</v>
      </c>
      <c r="C8" s="9" t="s">
        <v>586</v>
      </c>
      <c r="D8" s="9"/>
      <c r="E8" s="18" t="s">
        <v>996</v>
      </c>
      <c r="F8" s="9" t="s">
        <v>395</v>
      </c>
      <c r="G8" s="9"/>
      <c r="H8" s="9"/>
      <c r="I8" s="9"/>
      <c r="J8" s="9"/>
      <c r="K8" s="9"/>
      <c r="L8" s="39" t="s">
        <v>1006</v>
      </c>
      <c r="M8" s="9" t="s">
        <v>1007</v>
      </c>
      <c r="N8" s="9"/>
      <c r="O8" s="9" t="s">
        <v>1008</v>
      </c>
      <c r="P8" s="9" t="s">
        <v>1009</v>
      </c>
      <c r="Q8" s="9" t="s">
        <v>635</v>
      </c>
      <c r="R8" s="9" t="s">
        <v>1010</v>
      </c>
      <c r="S8" s="9"/>
    </row>
    <row r="9" spans="1:19" ht="21.75" customHeight="1" x14ac:dyDescent="0.2">
      <c r="A9" s="8" t="s">
        <v>366</v>
      </c>
      <c r="B9" s="8" t="s">
        <v>183</v>
      </c>
      <c r="C9" s="8" t="s">
        <v>1012</v>
      </c>
      <c r="D9" s="8"/>
      <c r="E9" s="13" t="s">
        <v>996</v>
      </c>
      <c r="F9" s="8" t="s">
        <v>395</v>
      </c>
      <c r="G9" s="8"/>
      <c r="H9" s="8"/>
      <c r="I9" s="8"/>
      <c r="J9" s="8"/>
      <c r="K9" s="8"/>
      <c r="L9" s="15" t="s">
        <v>1006</v>
      </c>
      <c r="M9" s="8" t="s">
        <v>1007</v>
      </c>
      <c r="N9" s="8"/>
      <c r="O9" s="8" t="s">
        <v>1008</v>
      </c>
      <c r="P9" s="8" t="s">
        <v>1009</v>
      </c>
      <c r="Q9" s="8" t="s">
        <v>635</v>
      </c>
      <c r="R9" s="8" t="s">
        <v>1010</v>
      </c>
      <c r="S9" s="8"/>
    </row>
    <row r="10" spans="1:19" ht="21.75" customHeight="1" x14ac:dyDescent="0.2">
      <c r="A10" s="9" t="s">
        <v>366</v>
      </c>
      <c r="B10" s="9" t="s">
        <v>161</v>
      </c>
      <c r="C10" s="9"/>
      <c r="D10" s="9"/>
      <c r="E10" s="40" t="s">
        <v>1013</v>
      </c>
      <c r="F10" s="9" t="s">
        <v>395</v>
      </c>
      <c r="G10" s="9">
        <v>15</v>
      </c>
      <c r="H10" s="9"/>
      <c r="I10" s="9"/>
      <c r="J10" s="9"/>
      <c r="K10" s="9"/>
      <c r="L10" s="18" t="s">
        <v>997</v>
      </c>
      <c r="M10" s="9" t="s">
        <v>418</v>
      </c>
      <c r="N10" s="9"/>
      <c r="O10" s="9" t="s">
        <v>1014</v>
      </c>
      <c r="P10" s="9" t="s">
        <v>1015</v>
      </c>
      <c r="Q10" s="9" t="s">
        <v>635</v>
      </c>
      <c r="R10" s="9" t="s">
        <v>1016</v>
      </c>
      <c r="S10" s="9" t="s">
        <v>1017</v>
      </c>
    </row>
    <row r="11" spans="1:19" ht="21.75" customHeight="1" x14ac:dyDescent="0.2">
      <c r="A11" s="8" t="s">
        <v>376</v>
      </c>
      <c r="B11" s="8" t="s">
        <v>208</v>
      </c>
      <c r="C11" s="8" t="s">
        <v>994</v>
      </c>
      <c r="D11" s="8"/>
      <c r="E11" s="41" t="s">
        <v>1018</v>
      </c>
      <c r="F11" s="8" t="s">
        <v>395</v>
      </c>
      <c r="G11" s="8">
        <v>8.5</v>
      </c>
      <c r="H11" s="8"/>
      <c r="I11" s="8"/>
      <c r="J11" s="8"/>
      <c r="K11" s="8"/>
      <c r="L11" s="13" t="s">
        <v>997</v>
      </c>
      <c r="M11" s="8" t="s">
        <v>397</v>
      </c>
      <c r="N11" s="8" t="s">
        <v>1019</v>
      </c>
      <c r="O11" s="8" t="s">
        <v>1014</v>
      </c>
      <c r="P11" s="8" t="s">
        <v>1020</v>
      </c>
      <c r="Q11" s="8" t="s">
        <v>635</v>
      </c>
      <c r="R11" s="8" t="s">
        <v>1021</v>
      </c>
      <c r="S11" s="8" t="s">
        <v>1022</v>
      </c>
    </row>
    <row r="12" spans="1:19" ht="21.75" customHeight="1" x14ac:dyDescent="0.2">
      <c r="A12" s="9" t="s">
        <v>376</v>
      </c>
      <c r="B12" s="9" t="s">
        <v>208</v>
      </c>
      <c r="C12" s="9" t="s">
        <v>994</v>
      </c>
      <c r="D12" s="9" t="s">
        <v>1023</v>
      </c>
      <c r="E12" s="18" t="s">
        <v>996</v>
      </c>
      <c r="F12" s="9" t="s">
        <v>1024</v>
      </c>
      <c r="G12" s="9"/>
      <c r="H12" s="9"/>
      <c r="I12" s="9"/>
      <c r="J12" s="9">
        <v>4500</v>
      </c>
      <c r="K12" s="9" t="s">
        <v>1025</v>
      </c>
      <c r="L12" s="18" t="s">
        <v>997</v>
      </c>
      <c r="M12" s="9" t="s">
        <v>470</v>
      </c>
      <c r="N12" s="9" t="s">
        <v>998</v>
      </c>
      <c r="O12" s="9" t="s">
        <v>999</v>
      </c>
      <c r="P12" s="9" t="s">
        <v>1020</v>
      </c>
      <c r="Q12" s="9" t="s">
        <v>131</v>
      </c>
      <c r="R12" s="9" t="s">
        <v>1001</v>
      </c>
      <c r="S12" s="9" t="s">
        <v>1026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558B2F"/>
  </sheetPr>
  <dimension ref="A1:L10"/>
  <sheetViews>
    <sheetView showGridLines="0" zoomScaleNormal="100" workbookViewId="0">
      <selection sqref="A1:L1"/>
    </sheetView>
  </sheetViews>
  <sheetFormatPr baseColWidth="10" defaultColWidth="8.6640625" defaultRowHeight="15" x14ac:dyDescent="0.2"/>
  <cols>
    <col min="1" max="1" width="14" customWidth="1"/>
    <col min="2" max="2" width="18" customWidth="1"/>
    <col min="3" max="3" width="14" customWidth="1"/>
    <col min="4" max="4" width="20" customWidth="1"/>
    <col min="5" max="5" width="16" customWidth="1"/>
    <col min="6" max="6" width="55" customWidth="1"/>
    <col min="7" max="7" width="40" customWidth="1"/>
    <col min="8" max="8" width="20" customWidth="1"/>
    <col min="9" max="9" width="22" customWidth="1"/>
    <col min="10" max="10" width="18" customWidth="1"/>
    <col min="11" max="11" width="35" customWidth="1"/>
    <col min="12" max="12" width="40" customWidth="1"/>
  </cols>
  <sheetData>
    <row r="1" spans="1:12" ht="31.5" customHeight="1" x14ac:dyDescent="0.2">
      <c r="A1" s="68" t="s">
        <v>1027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2" ht="21.75" customHeight="1" x14ac:dyDescent="0.2">
      <c r="A2" s="71" t="s">
        <v>1028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2" ht="27.75" customHeight="1" x14ac:dyDescent="0.2">
      <c r="A3" s="5" t="s">
        <v>1029</v>
      </c>
      <c r="B3" s="5" t="s">
        <v>1030</v>
      </c>
      <c r="C3" s="5" t="s">
        <v>1031</v>
      </c>
      <c r="D3" s="5" t="s">
        <v>1032</v>
      </c>
      <c r="E3" s="5" t="s">
        <v>1033</v>
      </c>
      <c r="F3" s="5" t="s">
        <v>1034</v>
      </c>
      <c r="G3" s="5" t="s">
        <v>1035</v>
      </c>
      <c r="H3" s="5" t="s">
        <v>1036</v>
      </c>
      <c r="I3" s="5" t="s">
        <v>1037</v>
      </c>
      <c r="J3" s="5" t="s">
        <v>1038</v>
      </c>
      <c r="K3" s="5" t="s">
        <v>482</v>
      </c>
      <c r="L3" s="5" t="s">
        <v>223</v>
      </c>
    </row>
    <row r="4" spans="1:12" ht="18" customHeight="1" x14ac:dyDescent="0.2">
      <c r="A4" s="9" t="s">
        <v>1039</v>
      </c>
      <c r="B4" s="9"/>
      <c r="C4" s="9" t="s">
        <v>208</v>
      </c>
      <c r="D4" s="9" t="s">
        <v>1040</v>
      </c>
      <c r="E4" s="9" t="s">
        <v>876</v>
      </c>
      <c r="F4" s="9" t="s">
        <v>1041</v>
      </c>
      <c r="G4" s="9" t="s">
        <v>1042</v>
      </c>
      <c r="H4" s="9" t="s">
        <v>131</v>
      </c>
      <c r="I4" s="9">
        <v>24</v>
      </c>
      <c r="J4" s="9" t="s">
        <v>131</v>
      </c>
      <c r="K4" s="9" t="s">
        <v>1043</v>
      </c>
      <c r="L4" s="9" t="s">
        <v>1044</v>
      </c>
    </row>
    <row r="5" spans="1:12" ht="18" customHeight="1" x14ac:dyDescent="0.2">
      <c r="A5" s="8" t="s">
        <v>1045</v>
      </c>
      <c r="B5" s="8"/>
      <c r="C5" s="8" t="s">
        <v>208</v>
      </c>
      <c r="D5" s="8" t="s">
        <v>1046</v>
      </c>
      <c r="E5" s="8" t="s">
        <v>1047</v>
      </c>
      <c r="F5" s="8" t="s">
        <v>1048</v>
      </c>
      <c r="G5" s="8" t="s">
        <v>1049</v>
      </c>
      <c r="H5" s="8" t="s">
        <v>131</v>
      </c>
      <c r="I5" s="8"/>
      <c r="J5" s="8" t="s">
        <v>131</v>
      </c>
      <c r="K5" s="8" t="s">
        <v>1050</v>
      </c>
      <c r="L5" s="8" t="s">
        <v>1051</v>
      </c>
    </row>
    <row r="6" spans="1:12" ht="18" customHeight="1" x14ac:dyDescent="0.2">
      <c r="A6" s="9" t="s">
        <v>1052</v>
      </c>
      <c r="B6" s="9"/>
      <c r="C6" s="9" t="s">
        <v>208</v>
      </c>
      <c r="D6" s="9" t="s">
        <v>1053</v>
      </c>
      <c r="E6" s="9" t="s">
        <v>876</v>
      </c>
      <c r="F6" s="9" t="s">
        <v>1054</v>
      </c>
      <c r="G6" s="9" t="s">
        <v>1055</v>
      </c>
      <c r="H6" s="9" t="s">
        <v>635</v>
      </c>
      <c r="I6" s="9">
        <v>18</v>
      </c>
      <c r="J6" s="9" t="s">
        <v>635</v>
      </c>
      <c r="K6" s="9" t="s">
        <v>1056</v>
      </c>
      <c r="L6" s="9" t="s">
        <v>1057</v>
      </c>
    </row>
    <row r="7" spans="1:12" ht="18" customHeight="1" x14ac:dyDescent="0.2">
      <c r="A7" s="8" t="s">
        <v>1058</v>
      </c>
      <c r="B7" s="8"/>
      <c r="C7" s="8" t="s">
        <v>208</v>
      </c>
      <c r="D7" s="8" t="s">
        <v>1059</v>
      </c>
      <c r="E7" s="8" t="s">
        <v>1060</v>
      </c>
      <c r="F7" s="8" t="s">
        <v>1061</v>
      </c>
      <c r="G7" s="8" t="s">
        <v>1062</v>
      </c>
      <c r="H7" s="8" t="s">
        <v>131</v>
      </c>
      <c r="I7" s="8"/>
      <c r="J7" s="8" t="s">
        <v>635</v>
      </c>
      <c r="K7" s="8" t="s">
        <v>1063</v>
      </c>
      <c r="L7" s="8" t="s">
        <v>1064</v>
      </c>
    </row>
    <row r="8" spans="1:12" ht="18" customHeight="1" x14ac:dyDescent="0.2">
      <c r="A8" s="9" t="s">
        <v>1065</v>
      </c>
      <c r="B8" s="9"/>
      <c r="C8" s="9" t="s">
        <v>208</v>
      </c>
      <c r="D8" s="9" t="s">
        <v>1066</v>
      </c>
      <c r="E8" s="9" t="s">
        <v>1060</v>
      </c>
      <c r="F8" s="9" t="s">
        <v>1067</v>
      </c>
      <c r="G8" s="9" t="s">
        <v>1068</v>
      </c>
      <c r="H8" s="9" t="s">
        <v>131</v>
      </c>
      <c r="I8" s="9"/>
      <c r="J8" s="9" t="s">
        <v>635</v>
      </c>
      <c r="K8" s="9" t="s">
        <v>1069</v>
      </c>
      <c r="L8" s="9" t="s">
        <v>1070</v>
      </c>
    </row>
    <row r="9" spans="1:12" ht="18" customHeight="1" x14ac:dyDescent="0.2">
      <c r="A9" s="8" t="s">
        <v>1071</v>
      </c>
      <c r="B9" s="8"/>
      <c r="C9" s="8" t="s">
        <v>139</v>
      </c>
      <c r="D9" s="8" t="s">
        <v>1040</v>
      </c>
      <c r="E9" s="8" t="s">
        <v>876</v>
      </c>
      <c r="F9" s="8" t="s">
        <v>1072</v>
      </c>
      <c r="G9" s="8" t="s">
        <v>1073</v>
      </c>
      <c r="H9" s="8" t="s">
        <v>131</v>
      </c>
      <c r="I9" s="8">
        <v>12</v>
      </c>
      <c r="J9" s="8" t="s">
        <v>635</v>
      </c>
      <c r="K9" s="8" t="s">
        <v>1074</v>
      </c>
      <c r="L9" s="8"/>
    </row>
    <row r="10" spans="1:12" ht="18" customHeight="1" x14ac:dyDescent="0.2">
      <c r="A10" s="9" t="s">
        <v>1075</v>
      </c>
      <c r="B10" s="9"/>
      <c r="C10" s="9" t="s">
        <v>145</v>
      </c>
      <c r="D10" s="9" t="s">
        <v>1076</v>
      </c>
      <c r="E10" s="9" t="s">
        <v>876</v>
      </c>
      <c r="F10" s="9" t="s">
        <v>1077</v>
      </c>
      <c r="G10" s="9" t="s">
        <v>1078</v>
      </c>
      <c r="H10" s="9" t="s">
        <v>131</v>
      </c>
      <c r="I10" s="9">
        <v>12</v>
      </c>
      <c r="J10" s="9" t="s">
        <v>131</v>
      </c>
      <c r="K10" s="9" t="s">
        <v>1079</v>
      </c>
      <c r="L10" s="9" t="s">
        <v>1080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E67E22"/>
  </sheetPr>
  <dimension ref="A1:N18"/>
  <sheetViews>
    <sheetView showGridLines="0" zoomScaleNormal="100" workbookViewId="0">
      <selection sqref="A1:N1"/>
    </sheetView>
  </sheetViews>
  <sheetFormatPr baseColWidth="10" defaultColWidth="8.6640625" defaultRowHeight="15" x14ac:dyDescent="0.2"/>
  <cols>
    <col min="1" max="1" width="14" customWidth="1"/>
    <col min="2" max="2" width="16" customWidth="1"/>
    <col min="3" max="3" width="35" customWidth="1"/>
    <col min="4" max="4" width="55" customWidth="1"/>
    <col min="5" max="5" width="16" customWidth="1"/>
    <col min="6" max="6" width="14" customWidth="1"/>
    <col min="7" max="7" width="20" customWidth="1"/>
    <col min="8" max="8" width="16" customWidth="1"/>
    <col min="9" max="9" width="28" customWidth="1"/>
    <col min="10" max="10" width="22" customWidth="1"/>
    <col min="11" max="11" width="30" customWidth="1"/>
    <col min="12" max="12" width="18" customWidth="1"/>
    <col min="13" max="13" width="10" customWidth="1"/>
    <col min="14" max="14" width="40" customWidth="1"/>
  </cols>
  <sheetData>
    <row r="1" spans="1:14" ht="31.5" customHeight="1" x14ac:dyDescent="0.2">
      <c r="A1" s="68" t="s">
        <v>1081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 ht="21.75" customHeight="1" x14ac:dyDescent="0.2">
      <c r="A2" s="72" t="s">
        <v>1082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</row>
    <row r="3" spans="1:14" ht="27.75" customHeight="1" x14ac:dyDescent="0.2">
      <c r="A3" s="42" t="s">
        <v>1083</v>
      </c>
      <c r="B3" s="42" t="s">
        <v>1084</v>
      </c>
      <c r="C3" s="42" t="s">
        <v>1085</v>
      </c>
      <c r="D3" s="42" t="s">
        <v>1086</v>
      </c>
      <c r="E3" s="42" t="s">
        <v>1087</v>
      </c>
      <c r="F3" s="42" t="s">
        <v>1088</v>
      </c>
      <c r="G3" s="42" t="s">
        <v>1089</v>
      </c>
      <c r="H3" s="42" t="s">
        <v>1090</v>
      </c>
      <c r="I3" s="42" t="s">
        <v>1091</v>
      </c>
      <c r="J3" s="42" t="s">
        <v>1092</v>
      </c>
      <c r="K3" s="42" t="s">
        <v>1093</v>
      </c>
      <c r="L3" s="42" t="s">
        <v>1094</v>
      </c>
      <c r="M3" s="42" t="s">
        <v>123</v>
      </c>
      <c r="N3" s="42" t="s">
        <v>223</v>
      </c>
    </row>
    <row r="4" spans="1:14" ht="21.75" customHeight="1" x14ac:dyDescent="0.2">
      <c r="A4" s="9" t="s">
        <v>1095</v>
      </c>
      <c r="B4" s="9" t="s">
        <v>208</v>
      </c>
      <c r="C4" s="9" t="s">
        <v>1096</v>
      </c>
      <c r="D4" s="19" t="s">
        <v>1097</v>
      </c>
      <c r="E4" s="9" t="s">
        <v>1098</v>
      </c>
      <c r="F4" s="9" t="s">
        <v>1099</v>
      </c>
      <c r="G4" s="9">
        <v>24</v>
      </c>
      <c r="H4" s="9" t="s">
        <v>1100</v>
      </c>
      <c r="I4" s="9"/>
      <c r="J4" s="9">
        <v>5</v>
      </c>
      <c r="K4" s="9" t="s">
        <v>1101</v>
      </c>
      <c r="L4" s="9" t="s">
        <v>1102</v>
      </c>
      <c r="M4" s="9" t="s">
        <v>131</v>
      </c>
      <c r="N4" s="9" t="s">
        <v>1103</v>
      </c>
    </row>
    <row r="5" spans="1:14" ht="21.75" customHeight="1" x14ac:dyDescent="0.2">
      <c r="A5" s="8" t="s">
        <v>1104</v>
      </c>
      <c r="B5" s="8" t="s">
        <v>139</v>
      </c>
      <c r="C5" s="8" t="s">
        <v>1105</v>
      </c>
      <c r="D5" s="20" t="s">
        <v>1106</v>
      </c>
      <c r="E5" s="8" t="s">
        <v>1107</v>
      </c>
      <c r="F5" s="8" t="s">
        <v>1108</v>
      </c>
      <c r="G5" s="8">
        <v>168</v>
      </c>
      <c r="H5" s="8" t="s">
        <v>1100</v>
      </c>
      <c r="I5" s="8"/>
      <c r="J5" s="8">
        <v>5</v>
      </c>
      <c r="K5" s="8" t="s">
        <v>1109</v>
      </c>
      <c r="L5" s="8" t="s">
        <v>1110</v>
      </c>
      <c r="M5" s="8" t="s">
        <v>131</v>
      </c>
      <c r="N5" s="8" t="s">
        <v>1111</v>
      </c>
    </row>
    <row r="6" spans="1:14" ht="21.75" customHeight="1" x14ac:dyDescent="0.2">
      <c r="A6" s="9" t="s">
        <v>1112</v>
      </c>
      <c r="B6" s="9" t="s">
        <v>198</v>
      </c>
      <c r="C6" s="9" t="s">
        <v>1113</v>
      </c>
      <c r="D6" s="19" t="s">
        <v>1114</v>
      </c>
      <c r="E6" s="9" t="s">
        <v>1107</v>
      </c>
      <c r="F6" s="9" t="s">
        <v>1108</v>
      </c>
      <c r="G6" s="9">
        <v>168</v>
      </c>
      <c r="H6" s="9" t="s">
        <v>1100</v>
      </c>
      <c r="I6" s="9"/>
      <c r="J6" s="9">
        <v>5</v>
      </c>
      <c r="K6" s="9" t="s">
        <v>1115</v>
      </c>
      <c r="L6" s="9" t="s">
        <v>1110</v>
      </c>
      <c r="M6" s="9" t="s">
        <v>131</v>
      </c>
      <c r="N6" s="9" t="s">
        <v>1116</v>
      </c>
    </row>
    <row r="7" spans="1:14" ht="21.75" customHeight="1" x14ac:dyDescent="0.2">
      <c r="A7" s="8" t="s">
        <v>1117</v>
      </c>
      <c r="B7" s="8" t="s">
        <v>193</v>
      </c>
      <c r="C7" s="8" t="s">
        <v>196</v>
      </c>
      <c r="D7" s="20" t="s">
        <v>1118</v>
      </c>
      <c r="E7" s="8" t="s">
        <v>1119</v>
      </c>
      <c r="F7" s="8" t="s">
        <v>1119</v>
      </c>
      <c r="G7" s="8">
        <v>336</v>
      </c>
      <c r="H7" s="8" t="s">
        <v>1100</v>
      </c>
      <c r="I7" s="8"/>
      <c r="J7" s="8">
        <v>3</v>
      </c>
      <c r="K7" s="8" t="s">
        <v>1120</v>
      </c>
      <c r="L7" s="8" t="s">
        <v>1121</v>
      </c>
      <c r="M7" s="8" t="s">
        <v>131</v>
      </c>
      <c r="N7" s="8" t="s">
        <v>1122</v>
      </c>
    </row>
    <row r="8" spans="1:14" ht="21.75" customHeight="1" x14ac:dyDescent="0.2">
      <c r="A8" s="9" t="s">
        <v>1123</v>
      </c>
      <c r="B8" s="9" t="s">
        <v>145</v>
      </c>
      <c r="C8" s="9" t="s">
        <v>1124</v>
      </c>
      <c r="D8" s="19" t="s">
        <v>1125</v>
      </c>
      <c r="E8" s="9" t="s">
        <v>1098</v>
      </c>
      <c r="F8" s="9" t="s">
        <v>1099</v>
      </c>
      <c r="G8" s="9">
        <v>168</v>
      </c>
      <c r="H8" s="9" t="s">
        <v>1100</v>
      </c>
      <c r="I8" s="9"/>
      <c r="J8" s="9">
        <v>5</v>
      </c>
      <c r="K8" s="9" t="s">
        <v>1126</v>
      </c>
      <c r="L8" s="9" t="s">
        <v>1110</v>
      </c>
      <c r="M8" s="9" t="s">
        <v>131</v>
      </c>
      <c r="N8" s="9" t="s">
        <v>1127</v>
      </c>
    </row>
    <row r="9" spans="1:14" ht="21.75" customHeight="1" x14ac:dyDescent="0.2">
      <c r="A9" s="8" t="s">
        <v>1128</v>
      </c>
      <c r="B9" s="8" t="s">
        <v>203</v>
      </c>
      <c r="C9" s="8" t="s">
        <v>1129</v>
      </c>
      <c r="D9" s="20" t="s">
        <v>1130</v>
      </c>
      <c r="E9" s="8" t="s">
        <v>1107</v>
      </c>
      <c r="F9" s="8" t="s">
        <v>1108</v>
      </c>
      <c r="G9" s="8">
        <v>336</v>
      </c>
      <c r="H9" s="8" t="s">
        <v>1100</v>
      </c>
      <c r="I9" s="8"/>
      <c r="J9" s="8">
        <v>5</v>
      </c>
      <c r="K9" s="8" t="s">
        <v>1131</v>
      </c>
      <c r="L9" s="8" t="s">
        <v>1121</v>
      </c>
      <c r="M9" s="8" t="s">
        <v>131</v>
      </c>
      <c r="N9" s="8" t="s">
        <v>1132</v>
      </c>
    </row>
    <row r="10" spans="1:14" ht="21.75" customHeight="1" x14ac:dyDescent="0.2">
      <c r="A10" s="9" t="s">
        <v>1133</v>
      </c>
      <c r="B10" s="9" t="s">
        <v>188</v>
      </c>
      <c r="C10" s="9" t="s">
        <v>1134</v>
      </c>
      <c r="D10" s="19" t="s">
        <v>1135</v>
      </c>
      <c r="E10" s="9" t="s">
        <v>1107</v>
      </c>
      <c r="F10" s="9" t="s">
        <v>1108</v>
      </c>
      <c r="G10" s="9">
        <v>336</v>
      </c>
      <c r="H10" s="9" t="s">
        <v>1100</v>
      </c>
      <c r="I10" s="9"/>
      <c r="J10" s="9">
        <v>3</v>
      </c>
      <c r="K10" s="9" t="s">
        <v>1136</v>
      </c>
      <c r="L10" s="9" t="s">
        <v>1121</v>
      </c>
      <c r="M10" s="9" t="s">
        <v>131</v>
      </c>
      <c r="N10" s="9" t="s">
        <v>1137</v>
      </c>
    </row>
    <row r="11" spans="1:14" ht="21.75" customHeight="1" x14ac:dyDescent="0.2">
      <c r="A11" s="8" t="s">
        <v>1138</v>
      </c>
      <c r="B11" s="8" t="s">
        <v>183</v>
      </c>
      <c r="C11" s="8" t="s">
        <v>1139</v>
      </c>
      <c r="D11" s="20" t="s">
        <v>1140</v>
      </c>
      <c r="E11" s="8" t="s">
        <v>1098</v>
      </c>
      <c r="F11" s="8" t="s">
        <v>1099</v>
      </c>
      <c r="G11" s="8">
        <v>168</v>
      </c>
      <c r="H11" s="8" t="s">
        <v>1100</v>
      </c>
      <c r="I11" s="8"/>
      <c r="J11" s="8">
        <v>5</v>
      </c>
      <c r="K11" s="8" t="s">
        <v>1141</v>
      </c>
      <c r="L11" s="8" t="s">
        <v>1110</v>
      </c>
      <c r="M11" s="8" t="s">
        <v>131</v>
      </c>
      <c r="N11" s="8" t="s">
        <v>1142</v>
      </c>
    </row>
    <row r="12" spans="1:14" ht="21.75" customHeight="1" x14ac:dyDescent="0.2">
      <c r="A12" s="9" t="s">
        <v>1143</v>
      </c>
      <c r="B12" s="9" t="s">
        <v>161</v>
      </c>
      <c r="C12" s="9" t="s">
        <v>1144</v>
      </c>
      <c r="D12" s="19" t="s">
        <v>1145</v>
      </c>
      <c r="E12" s="9" t="s">
        <v>1107</v>
      </c>
      <c r="F12" s="9" t="s">
        <v>1108</v>
      </c>
      <c r="G12" s="9">
        <v>168</v>
      </c>
      <c r="H12" s="9" t="s">
        <v>1100</v>
      </c>
      <c r="I12" s="9"/>
      <c r="J12" s="9">
        <v>3</v>
      </c>
      <c r="K12" s="9" t="s">
        <v>1146</v>
      </c>
      <c r="L12" s="9" t="s">
        <v>1110</v>
      </c>
      <c r="M12" s="9" t="s">
        <v>131</v>
      </c>
      <c r="N12" s="9" t="s">
        <v>1147</v>
      </c>
    </row>
    <row r="13" spans="1:14" ht="21.75" customHeight="1" x14ac:dyDescent="0.2">
      <c r="A13" s="8" t="s">
        <v>1148</v>
      </c>
      <c r="B13" s="8" t="s">
        <v>166</v>
      </c>
      <c r="C13" s="8" t="s">
        <v>1149</v>
      </c>
      <c r="D13" s="20" t="s">
        <v>1150</v>
      </c>
      <c r="E13" s="8" t="s">
        <v>1107</v>
      </c>
      <c r="F13" s="8" t="s">
        <v>1108</v>
      </c>
      <c r="G13" s="8">
        <v>168</v>
      </c>
      <c r="H13" s="8" t="s">
        <v>1100</v>
      </c>
      <c r="I13" s="8"/>
      <c r="J13" s="8">
        <v>5</v>
      </c>
      <c r="K13" s="8" t="s">
        <v>1151</v>
      </c>
      <c r="L13" s="8" t="s">
        <v>1110</v>
      </c>
      <c r="M13" s="8" t="s">
        <v>131</v>
      </c>
      <c r="N13" s="8"/>
    </row>
    <row r="14" spans="1:14" ht="21.75" customHeight="1" x14ac:dyDescent="0.2">
      <c r="A14" s="9" t="s">
        <v>1152</v>
      </c>
      <c r="B14" s="9" t="s">
        <v>132</v>
      </c>
      <c r="C14" s="9" t="s">
        <v>1153</v>
      </c>
      <c r="D14" s="19" t="s">
        <v>1154</v>
      </c>
      <c r="E14" s="9" t="s">
        <v>1107</v>
      </c>
      <c r="F14" s="9" t="s">
        <v>1108</v>
      </c>
      <c r="G14" s="9">
        <v>336</v>
      </c>
      <c r="H14" s="9" t="s">
        <v>1100</v>
      </c>
      <c r="I14" s="9"/>
      <c r="J14" s="9">
        <v>5</v>
      </c>
      <c r="K14" s="9" t="s">
        <v>1155</v>
      </c>
      <c r="L14" s="9" t="s">
        <v>1121</v>
      </c>
      <c r="M14" s="9" t="s">
        <v>131</v>
      </c>
      <c r="N14" s="9"/>
    </row>
    <row r="15" spans="1:14" ht="21.75" customHeight="1" x14ac:dyDescent="0.2">
      <c r="A15" s="8" t="s">
        <v>1156</v>
      </c>
      <c r="B15" s="8" t="s">
        <v>150</v>
      </c>
      <c r="C15" s="8" t="s">
        <v>153</v>
      </c>
      <c r="D15" s="20" t="s">
        <v>1157</v>
      </c>
      <c r="E15" s="8" t="s">
        <v>1098</v>
      </c>
      <c r="F15" s="8" t="s">
        <v>1158</v>
      </c>
      <c r="G15" s="8">
        <v>336</v>
      </c>
      <c r="H15" s="8" t="s">
        <v>1100</v>
      </c>
      <c r="I15" s="8"/>
      <c r="J15" s="8">
        <v>5</v>
      </c>
      <c r="K15" s="8" t="s">
        <v>1159</v>
      </c>
      <c r="L15" s="8" t="s">
        <v>1121</v>
      </c>
      <c r="M15" s="8" t="s">
        <v>131</v>
      </c>
      <c r="N15" s="8" t="s">
        <v>1160</v>
      </c>
    </row>
    <row r="16" spans="1:14" ht="21.75" customHeight="1" x14ac:dyDescent="0.2">
      <c r="A16" s="9" t="s">
        <v>1161</v>
      </c>
      <c r="B16" s="9"/>
      <c r="C16" s="9" t="s">
        <v>1162</v>
      </c>
      <c r="D16" s="19" t="s">
        <v>1163</v>
      </c>
      <c r="E16" s="9" t="s">
        <v>1107</v>
      </c>
      <c r="F16" s="9" t="s">
        <v>1108</v>
      </c>
      <c r="G16" s="9">
        <v>720</v>
      </c>
      <c r="H16" s="9" t="s">
        <v>1100</v>
      </c>
      <c r="I16" s="9"/>
      <c r="J16" s="18">
        <v>0</v>
      </c>
      <c r="K16" s="9" t="s">
        <v>1164</v>
      </c>
      <c r="L16" s="9" t="s">
        <v>1165</v>
      </c>
      <c r="M16" s="9" t="s">
        <v>131</v>
      </c>
      <c r="N16" s="9" t="s">
        <v>1166</v>
      </c>
    </row>
    <row r="17" spans="1:14" ht="21.75" customHeight="1" x14ac:dyDescent="0.2">
      <c r="A17" s="8" t="s">
        <v>1167</v>
      </c>
      <c r="B17" s="8"/>
      <c r="C17" s="8" t="s">
        <v>1168</v>
      </c>
      <c r="D17" s="20" t="s">
        <v>1169</v>
      </c>
      <c r="E17" s="8" t="s">
        <v>1098</v>
      </c>
      <c r="F17" s="8" t="s">
        <v>1170</v>
      </c>
      <c r="G17" s="8">
        <v>24</v>
      </c>
      <c r="H17" s="8" t="s">
        <v>1100</v>
      </c>
      <c r="I17" s="8"/>
      <c r="J17" s="13">
        <v>0</v>
      </c>
      <c r="K17" s="8" t="s">
        <v>1171</v>
      </c>
      <c r="L17" s="8" t="s">
        <v>1102</v>
      </c>
      <c r="M17" s="8" t="s">
        <v>131</v>
      </c>
      <c r="N17" s="8" t="s">
        <v>1172</v>
      </c>
    </row>
    <row r="18" spans="1:14" ht="21.75" customHeight="1" x14ac:dyDescent="0.2">
      <c r="A18" s="9" t="s">
        <v>1173</v>
      </c>
      <c r="B18" s="9"/>
      <c r="C18" s="9" t="s">
        <v>1174</v>
      </c>
      <c r="D18" s="19" t="s">
        <v>1175</v>
      </c>
      <c r="E18" s="9" t="s">
        <v>1098</v>
      </c>
      <c r="F18" s="9" t="s">
        <v>1158</v>
      </c>
      <c r="G18" s="9">
        <v>24</v>
      </c>
      <c r="H18" s="9" t="s">
        <v>1100</v>
      </c>
      <c r="I18" s="9"/>
      <c r="J18" s="18">
        <v>0</v>
      </c>
      <c r="K18" s="9" t="s">
        <v>1176</v>
      </c>
      <c r="L18" s="9" t="s">
        <v>1102</v>
      </c>
      <c r="M18" s="9" t="s">
        <v>131</v>
      </c>
      <c r="N18" s="9" t="s">
        <v>1177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E67E22"/>
  </sheetPr>
  <dimension ref="A1:L11"/>
  <sheetViews>
    <sheetView showGridLines="0" zoomScaleNormal="100" workbookViewId="0">
      <selection sqref="A1:L1"/>
    </sheetView>
  </sheetViews>
  <sheetFormatPr baseColWidth="10" defaultColWidth="8.6640625" defaultRowHeight="15" x14ac:dyDescent="0.2"/>
  <cols>
    <col min="1" max="2" width="14" customWidth="1"/>
    <col min="3" max="5" width="18" customWidth="1"/>
    <col min="6" max="6" width="22" customWidth="1"/>
    <col min="7" max="7" width="18" customWidth="1"/>
    <col min="8" max="10" width="16" customWidth="1"/>
    <col min="11" max="11" width="14" customWidth="1"/>
    <col min="12" max="12" width="50" customWidth="1"/>
  </cols>
  <sheetData>
    <row r="1" spans="1:12" ht="31.5" customHeight="1" x14ac:dyDescent="0.2">
      <c r="A1" s="68" t="s">
        <v>1178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2" ht="21.75" customHeight="1" x14ac:dyDescent="0.2">
      <c r="A2" s="72" t="s">
        <v>1179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1:12" ht="27.75" customHeight="1" x14ac:dyDescent="0.2">
      <c r="A3" s="42" t="s">
        <v>1180</v>
      </c>
      <c r="B3" s="42" t="s">
        <v>1181</v>
      </c>
      <c r="C3" s="42" t="s">
        <v>1182</v>
      </c>
      <c r="D3" s="42" t="s">
        <v>1183</v>
      </c>
      <c r="E3" s="42" t="s">
        <v>1184</v>
      </c>
      <c r="F3" s="42" t="s">
        <v>1185</v>
      </c>
      <c r="G3" s="42" t="s">
        <v>1186</v>
      </c>
      <c r="H3" s="42" t="s">
        <v>1187</v>
      </c>
      <c r="I3" s="42" t="s">
        <v>1188</v>
      </c>
      <c r="J3" s="42" t="s">
        <v>1189</v>
      </c>
      <c r="K3" s="42" t="s">
        <v>1190</v>
      </c>
      <c r="L3" s="42" t="s">
        <v>1191</v>
      </c>
    </row>
    <row r="4" spans="1:12" ht="19.5" customHeight="1" x14ac:dyDescent="0.2">
      <c r="A4" s="9" t="s">
        <v>1192</v>
      </c>
      <c r="B4" s="9" t="s">
        <v>1167</v>
      </c>
      <c r="C4" s="9" t="s">
        <v>1102</v>
      </c>
      <c r="D4" s="9" t="s">
        <v>1102</v>
      </c>
      <c r="E4" s="9">
        <v>12</v>
      </c>
      <c r="F4" s="43" t="s">
        <v>1193</v>
      </c>
      <c r="G4" s="9">
        <v>200</v>
      </c>
      <c r="H4" s="9">
        <v>1</v>
      </c>
      <c r="I4" s="9">
        <v>0</v>
      </c>
      <c r="J4" s="9">
        <v>0</v>
      </c>
      <c r="K4" s="9" t="s">
        <v>1194</v>
      </c>
      <c r="L4" s="9"/>
    </row>
    <row r="5" spans="1:12" ht="19.5" customHeight="1" x14ac:dyDescent="0.2">
      <c r="A5" s="8" t="s">
        <v>1195</v>
      </c>
      <c r="B5" s="8" t="s">
        <v>1095</v>
      </c>
      <c r="C5" s="8" t="s">
        <v>1102</v>
      </c>
      <c r="D5" s="8" t="s">
        <v>1196</v>
      </c>
      <c r="E5" s="8">
        <v>492</v>
      </c>
      <c r="F5" s="16" t="s">
        <v>1197</v>
      </c>
      <c r="G5" s="8">
        <v>200</v>
      </c>
      <c r="H5" s="8">
        <v>21</v>
      </c>
      <c r="I5" s="8">
        <v>0</v>
      </c>
      <c r="J5" s="8">
        <v>0</v>
      </c>
      <c r="K5" s="8" t="s">
        <v>1194</v>
      </c>
      <c r="L5" s="8"/>
    </row>
    <row r="6" spans="1:12" ht="19.5" customHeight="1" x14ac:dyDescent="0.2">
      <c r="A6" s="9" t="s">
        <v>1198</v>
      </c>
      <c r="B6" s="9" t="s">
        <v>1143</v>
      </c>
      <c r="C6" s="9" t="s">
        <v>1199</v>
      </c>
      <c r="D6" s="9" t="s">
        <v>1200</v>
      </c>
      <c r="E6" s="9">
        <v>98</v>
      </c>
      <c r="F6" s="43" t="s">
        <v>1193</v>
      </c>
      <c r="G6" s="9">
        <v>200</v>
      </c>
      <c r="H6" s="9">
        <v>1</v>
      </c>
      <c r="I6" s="9">
        <v>0</v>
      </c>
      <c r="J6" s="9">
        <v>0</v>
      </c>
      <c r="K6" s="9" t="s">
        <v>1194</v>
      </c>
      <c r="L6" s="9"/>
    </row>
    <row r="7" spans="1:12" ht="19.5" customHeight="1" x14ac:dyDescent="0.2">
      <c r="A7" s="8" t="s">
        <v>1201</v>
      </c>
      <c r="B7" s="8" t="s">
        <v>1112</v>
      </c>
      <c r="C7" s="8" t="s">
        <v>1199</v>
      </c>
      <c r="D7" s="8" t="s">
        <v>1202</v>
      </c>
      <c r="E7" s="8">
        <v>880</v>
      </c>
      <c r="F7" s="15" t="s">
        <v>1203</v>
      </c>
      <c r="G7" s="8">
        <v>200</v>
      </c>
      <c r="H7" s="8">
        <v>15</v>
      </c>
      <c r="I7" s="23">
        <v>2</v>
      </c>
      <c r="J7" s="8">
        <v>3</v>
      </c>
      <c r="K7" s="8" t="s">
        <v>1194</v>
      </c>
      <c r="L7" s="8" t="s">
        <v>1204</v>
      </c>
    </row>
    <row r="8" spans="1:12" ht="19.5" customHeight="1" x14ac:dyDescent="0.2">
      <c r="A8" s="9" t="s">
        <v>1205</v>
      </c>
      <c r="B8" s="9" t="s">
        <v>1138</v>
      </c>
      <c r="C8" s="9" t="s">
        <v>1110</v>
      </c>
      <c r="D8" s="9" t="s">
        <v>1110</v>
      </c>
      <c r="E8" s="9">
        <v>8</v>
      </c>
      <c r="F8" s="28" t="s">
        <v>1206</v>
      </c>
      <c r="G8" s="9">
        <v>503</v>
      </c>
      <c r="H8" s="9">
        <v>0</v>
      </c>
      <c r="I8" s="9">
        <v>0</v>
      </c>
      <c r="J8" s="9">
        <v>0</v>
      </c>
      <c r="K8" s="9" t="s">
        <v>1194</v>
      </c>
      <c r="L8" s="9" t="s">
        <v>1207</v>
      </c>
    </row>
    <row r="9" spans="1:12" ht="19.5" customHeight="1" x14ac:dyDescent="0.2">
      <c r="A9" s="8" t="s">
        <v>490</v>
      </c>
      <c r="B9" s="8" t="s">
        <v>1143</v>
      </c>
      <c r="C9" s="8" t="s">
        <v>1208</v>
      </c>
      <c r="D9" s="8" t="s">
        <v>1209</v>
      </c>
      <c r="E9" s="8">
        <v>112</v>
      </c>
      <c r="F9" s="16" t="s">
        <v>1197</v>
      </c>
      <c r="G9" s="8">
        <v>200</v>
      </c>
      <c r="H9" s="8">
        <v>1</v>
      </c>
      <c r="I9" s="23">
        <v>1</v>
      </c>
      <c r="J9" s="8">
        <v>0</v>
      </c>
      <c r="K9" s="8" t="s">
        <v>1194</v>
      </c>
      <c r="L9" s="8"/>
    </row>
    <row r="10" spans="1:12" ht="19.5" customHeight="1" x14ac:dyDescent="0.2">
      <c r="A10" s="9" t="s">
        <v>1210</v>
      </c>
      <c r="B10" s="9" t="s">
        <v>1095</v>
      </c>
      <c r="C10" s="9" t="s">
        <v>1211</v>
      </c>
      <c r="D10" s="9" t="s">
        <v>1212</v>
      </c>
      <c r="E10" s="9">
        <v>512</v>
      </c>
      <c r="F10" s="11" t="s">
        <v>1197</v>
      </c>
      <c r="G10" s="9">
        <v>200</v>
      </c>
      <c r="H10" s="9">
        <v>21</v>
      </c>
      <c r="I10" s="22">
        <v>3</v>
      </c>
      <c r="J10" s="9">
        <v>0</v>
      </c>
      <c r="K10" s="9" t="s">
        <v>1213</v>
      </c>
      <c r="L10" s="9" t="s">
        <v>1214</v>
      </c>
    </row>
    <row r="11" spans="1:12" ht="19.5" customHeight="1" x14ac:dyDescent="0.2">
      <c r="A11" s="8" t="s">
        <v>497</v>
      </c>
      <c r="B11" s="8" t="s">
        <v>1123</v>
      </c>
      <c r="C11" s="8" t="s">
        <v>1215</v>
      </c>
      <c r="D11" s="8" t="s">
        <v>1216</v>
      </c>
      <c r="E11" s="8">
        <v>2680</v>
      </c>
      <c r="F11" s="16" t="s">
        <v>1197</v>
      </c>
      <c r="G11" s="8">
        <v>200</v>
      </c>
      <c r="H11" s="8">
        <v>45</v>
      </c>
      <c r="I11" s="23">
        <v>3</v>
      </c>
      <c r="J11" s="8">
        <v>0</v>
      </c>
      <c r="K11" s="8" t="s">
        <v>1194</v>
      </c>
      <c r="L11" s="8"/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67E22"/>
  </sheetPr>
  <dimension ref="A1:N8"/>
  <sheetViews>
    <sheetView showGridLines="0" zoomScaleNormal="100" workbookViewId="0">
      <selection sqref="A1:N1"/>
    </sheetView>
  </sheetViews>
  <sheetFormatPr baseColWidth="10" defaultColWidth="8.6640625" defaultRowHeight="15" x14ac:dyDescent="0.2"/>
  <cols>
    <col min="1" max="2" width="14" customWidth="1"/>
    <col min="3" max="3" width="18" customWidth="1"/>
    <col min="4" max="4" width="12" customWidth="1"/>
    <col min="5" max="5" width="14" customWidth="1"/>
    <col min="6" max="6" width="22" customWidth="1"/>
    <col min="7" max="8" width="14" customWidth="1"/>
    <col min="9" max="10" width="22" customWidth="1"/>
    <col min="11" max="11" width="20" customWidth="1"/>
    <col min="12" max="12" width="18" customWidth="1"/>
    <col min="13" max="13" width="55" customWidth="1"/>
    <col min="14" max="14" width="40" customWidth="1"/>
  </cols>
  <sheetData>
    <row r="1" spans="1:14" ht="31.5" customHeight="1" x14ac:dyDescent="0.2">
      <c r="A1" s="68" t="s">
        <v>1217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 ht="21.75" customHeight="1" x14ac:dyDescent="0.2">
      <c r="A2" s="72" t="s">
        <v>1218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</row>
    <row r="3" spans="1:14" ht="27.75" customHeight="1" x14ac:dyDescent="0.2">
      <c r="A3" s="42" t="s">
        <v>1219</v>
      </c>
      <c r="B3" s="42" t="s">
        <v>1220</v>
      </c>
      <c r="C3" s="42" t="s">
        <v>379</v>
      </c>
      <c r="D3" s="42" t="s">
        <v>380</v>
      </c>
      <c r="E3" s="42" t="s">
        <v>429</v>
      </c>
      <c r="F3" s="42" t="s">
        <v>1221</v>
      </c>
      <c r="G3" s="42" t="s">
        <v>1222</v>
      </c>
      <c r="H3" s="42" t="s">
        <v>1223</v>
      </c>
      <c r="I3" s="42" t="s">
        <v>480</v>
      </c>
      <c r="J3" s="42" t="s">
        <v>1224</v>
      </c>
      <c r="K3" s="42" t="s">
        <v>1225</v>
      </c>
      <c r="L3" s="42" t="s">
        <v>1226</v>
      </c>
      <c r="M3" s="42" t="s">
        <v>1086</v>
      </c>
      <c r="N3" s="42" t="s">
        <v>1227</v>
      </c>
    </row>
    <row r="4" spans="1:14" ht="21.75" customHeight="1" x14ac:dyDescent="0.2">
      <c r="A4" s="9" t="s">
        <v>1228</v>
      </c>
      <c r="B4" s="9" t="s">
        <v>490</v>
      </c>
      <c r="C4" s="9" t="s">
        <v>366</v>
      </c>
      <c r="D4" s="9" t="s">
        <v>161</v>
      </c>
      <c r="E4" s="9" t="s">
        <v>332</v>
      </c>
      <c r="F4" s="9" t="s">
        <v>485</v>
      </c>
      <c r="G4" s="9" t="s">
        <v>1229</v>
      </c>
      <c r="H4" s="9" t="s">
        <v>1230</v>
      </c>
      <c r="I4" s="18" t="s">
        <v>486</v>
      </c>
      <c r="J4" s="11" t="s">
        <v>1231</v>
      </c>
      <c r="K4" s="9" t="s">
        <v>1232</v>
      </c>
      <c r="L4" s="9" t="s">
        <v>1232</v>
      </c>
      <c r="M4" s="19" t="s">
        <v>1145</v>
      </c>
      <c r="N4" s="9" t="s">
        <v>1233</v>
      </c>
    </row>
    <row r="5" spans="1:14" ht="21.75" customHeight="1" x14ac:dyDescent="0.2">
      <c r="A5" s="8" t="s">
        <v>1234</v>
      </c>
      <c r="B5" s="8" t="s">
        <v>1201</v>
      </c>
      <c r="C5" s="8" t="s">
        <v>366</v>
      </c>
      <c r="D5" s="8" t="s">
        <v>198</v>
      </c>
      <c r="E5" s="8" t="s">
        <v>1235</v>
      </c>
      <c r="F5" s="8" t="s">
        <v>34</v>
      </c>
      <c r="G5" s="8" t="s">
        <v>1236</v>
      </c>
      <c r="H5" s="8" t="s">
        <v>1237</v>
      </c>
      <c r="I5" s="13" t="s">
        <v>486</v>
      </c>
      <c r="J5" s="44" t="s">
        <v>1238</v>
      </c>
      <c r="K5" s="8" t="s">
        <v>1239</v>
      </c>
      <c r="L5" s="8"/>
      <c r="M5" s="20" t="s">
        <v>1240</v>
      </c>
      <c r="N5" s="8" t="s">
        <v>1241</v>
      </c>
    </row>
    <row r="6" spans="1:14" ht="21.75" customHeight="1" x14ac:dyDescent="0.2">
      <c r="A6" s="9" t="s">
        <v>1242</v>
      </c>
      <c r="B6" s="9" t="s">
        <v>497</v>
      </c>
      <c r="C6" s="9" t="s">
        <v>366</v>
      </c>
      <c r="D6" s="9" t="s">
        <v>145</v>
      </c>
      <c r="E6" s="9" t="s">
        <v>332</v>
      </c>
      <c r="F6" s="9" t="s">
        <v>34</v>
      </c>
      <c r="G6" s="9" t="s">
        <v>1243</v>
      </c>
      <c r="H6" s="9" t="s">
        <v>1244</v>
      </c>
      <c r="I6" s="18" t="s">
        <v>486</v>
      </c>
      <c r="J6" s="11" t="s">
        <v>1231</v>
      </c>
      <c r="K6" s="9" t="s">
        <v>1245</v>
      </c>
      <c r="L6" s="9" t="s">
        <v>1245</v>
      </c>
      <c r="M6" s="19" t="s">
        <v>1125</v>
      </c>
      <c r="N6" s="9" t="s">
        <v>1246</v>
      </c>
    </row>
    <row r="7" spans="1:14" ht="21.75" customHeight="1" x14ac:dyDescent="0.2">
      <c r="A7" s="8" t="s">
        <v>1247</v>
      </c>
      <c r="B7" s="8" t="s">
        <v>1210</v>
      </c>
      <c r="C7" s="8" t="s">
        <v>366</v>
      </c>
      <c r="D7" s="8" t="s">
        <v>161</v>
      </c>
      <c r="E7" s="8" t="s">
        <v>332</v>
      </c>
      <c r="F7" s="8" t="s">
        <v>485</v>
      </c>
      <c r="G7" s="8" t="s">
        <v>1229</v>
      </c>
      <c r="H7" s="8" t="s">
        <v>1230</v>
      </c>
      <c r="I7" s="13" t="s">
        <v>486</v>
      </c>
      <c r="J7" s="45" t="s">
        <v>1248</v>
      </c>
      <c r="K7" s="8" t="s">
        <v>1249</v>
      </c>
      <c r="L7" s="8"/>
      <c r="M7" s="20" t="s">
        <v>1250</v>
      </c>
      <c r="N7" s="8" t="s">
        <v>1251</v>
      </c>
    </row>
    <row r="8" spans="1:14" ht="21.75" customHeight="1" x14ac:dyDescent="0.2">
      <c r="A8" s="9" t="s">
        <v>1252</v>
      </c>
      <c r="B8" s="9" t="s">
        <v>1195</v>
      </c>
      <c r="C8" s="9" t="s">
        <v>361</v>
      </c>
      <c r="D8" s="9" t="s">
        <v>208</v>
      </c>
      <c r="E8" s="9" t="s">
        <v>332</v>
      </c>
      <c r="F8" s="9" t="s">
        <v>1253</v>
      </c>
      <c r="G8" s="9" t="s">
        <v>1254</v>
      </c>
      <c r="H8" s="9" t="s">
        <v>1255</v>
      </c>
      <c r="I8" s="37" t="s">
        <v>1253</v>
      </c>
      <c r="J8" s="44" t="s">
        <v>1238</v>
      </c>
      <c r="K8" s="9" t="s">
        <v>1256</v>
      </c>
      <c r="L8" s="9"/>
      <c r="M8" s="19" t="s">
        <v>1257</v>
      </c>
      <c r="N8" s="9" t="s">
        <v>1258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5C3D8F"/>
  </sheetPr>
  <dimension ref="B2:D70"/>
  <sheetViews>
    <sheetView showGridLines="0" topLeftCell="A55" zoomScaleNormal="100" workbookViewId="0">
      <selection activeCell="B55" sqref="B55"/>
    </sheetView>
  </sheetViews>
  <sheetFormatPr baseColWidth="10" defaultColWidth="8.6640625" defaultRowHeight="15" x14ac:dyDescent="0.2"/>
  <cols>
    <col min="1" max="1" width="3" customWidth="1"/>
    <col min="2" max="2" width="24" customWidth="1"/>
    <col min="3" max="3" width="18" customWidth="1"/>
    <col min="4" max="4" width="110" customWidth="1"/>
    <col min="5" max="5" width="3" customWidth="1"/>
  </cols>
  <sheetData>
    <row r="2" spans="2:4" ht="39.75" customHeight="1" x14ac:dyDescent="0.2">
      <c r="B2" s="86" t="s">
        <v>1259</v>
      </c>
      <c r="C2" s="86"/>
      <c r="D2" s="86"/>
    </row>
    <row r="3" spans="2:4" ht="24" customHeight="1" x14ac:dyDescent="0.2">
      <c r="B3" s="67" t="s">
        <v>1260</v>
      </c>
      <c r="C3" s="67"/>
      <c r="D3" s="67"/>
    </row>
    <row r="4" spans="2:4" ht="12" customHeight="1" x14ac:dyDescent="0.2"/>
    <row r="5" spans="2:4" ht="25.5" customHeight="1" x14ac:dyDescent="0.2">
      <c r="B5" s="63" t="s">
        <v>1261</v>
      </c>
      <c r="C5" s="63"/>
      <c r="D5" s="63"/>
    </row>
    <row r="6" spans="2:4" ht="19.5" customHeight="1" x14ac:dyDescent="0.2">
      <c r="B6" s="46" t="s">
        <v>1262</v>
      </c>
      <c r="C6" s="47" t="s">
        <v>1263</v>
      </c>
    </row>
    <row r="7" spans="2:4" ht="19.5" customHeight="1" x14ac:dyDescent="0.2">
      <c r="B7" s="46" t="s">
        <v>1264</v>
      </c>
      <c r="C7" s="47" t="s">
        <v>1265</v>
      </c>
    </row>
    <row r="8" spans="2:4" ht="19.5" customHeight="1" x14ac:dyDescent="0.2">
      <c r="B8" s="46" t="s">
        <v>1266</v>
      </c>
      <c r="C8" s="47" t="s">
        <v>1267</v>
      </c>
    </row>
    <row r="9" spans="2:4" ht="24" customHeight="1" x14ac:dyDescent="0.2">
      <c r="B9" s="87" t="s">
        <v>1268</v>
      </c>
      <c r="C9" s="87"/>
      <c r="D9" s="87"/>
    </row>
    <row r="10" spans="2:4" ht="12" customHeight="1" x14ac:dyDescent="0.2"/>
    <row r="11" spans="2:4" ht="24" customHeight="1" x14ac:dyDescent="0.2">
      <c r="B11" s="70" t="s">
        <v>1269</v>
      </c>
      <c r="C11" s="70"/>
      <c r="D11" s="70"/>
    </row>
    <row r="12" spans="2:4" ht="6" customHeight="1" x14ac:dyDescent="0.2"/>
    <row r="13" spans="2:4" ht="25.5" customHeight="1" x14ac:dyDescent="0.2">
      <c r="B13" s="80" t="s">
        <v>1270</v>
      </c>
      <c r="C13" s="81" t="s">
        <v>1271</v>
      </c>
      <c r="D13" s="81"/>
    </row>
    <row r="14" spans="2:4" ht="19.5" customHeight="1" x14ac:dyDescent="0.2">
      <c r="B14" s="80"/>
      <c r="C14" s="48" t="s">
        <v>1272</v>
      </c>
      <c r="D14" s="49" t="s">
        <v>1273</v>
      </c>
    </row>
    <row r="15" spans="2:4" ht="409.5" customHeight="1" x14ac:dyDescent="0.2">
      <c r="B15" s="73" t="s">
        <v>1274</v>
      </c>
      <c r="C15" s="73"/>
      <c r="D15" s="73"/>
    </row>
    <row r="16" spans="2:4" ht="9.75" customHeight="1" x14ac:dyDescent="0.2"/>
    <row r="17" spans="2:4" ht="25.5" customHeight="1" x14ac:dyDescent="0.2">
      <c r="B17" s="84" t="s">
        <v>1275</v>
      </c>
      <c r="C17" s="85" t="s">
        <v>1276</v>
      </c>
      <c r="D17" s="85"/>
    </row>
    <row r="18" spans="2:4" ht="19.5" customHeight="1" x14ac:dyDescent="0.2">
      <c r="B18" s="84"/>
      <c r="C18" s="50" t="s">
        <v>1272</v>
      </c>
      <c r="D18" s="49" t="s">
        <v>1277</v>
      </c>
    </row>
    <row r="19" spans="2:4" ht="402.75" customHeight="1" x14ac:dyDescent="0.2">
      <c r="B19" s="73" t="s">
        <v>1278</v>
      </c>
      <c r="C19" s="73"/>
      <c r="D19" s="73"/>
    </row>
    <row r="20" spans="2:4" ht="9.75" customHeight="1" x14ac:dyDescent="0.2"/>
    <row r="21" spans="2:4" ht="25.5" customHeight="1" x14ac:dyDescent="0.2">
      <c r="B21" s="82" t="s">
        <v>1279</v>
      </c>
      <c r="C21" s="83" t="s">
        <v>1280</v>
      </c>
      <c r="D21" s="83"/>
    </row>
    <row r="22" spans="2:4" ht="19.5" customHeight="1" x14ac:dyDescent="0.2">
      <c r="B22" s="82"/>
      <c r="C22" s="51" t="s">
        <v>1272</v>
      </c>
      <c r="D22" s="49" t="s">
        <v>1281</v>
      </c>
    </row>
    <row r="23" spans="2:4" ht="409.5" customHeight="1" x14ac:dyDescent="0.2">
      <c r="B23" s="73" t="s">
        <v>1282</v>
      </c>
      <c r="C23" s="73"/>
      <c r="D23" s="73"/>
    </row>
    <row r="24" spans="2:4" ht="9.75" customHeight="1" x14ac:dyDescent="0.2"/>
    <row r="25" spans="2:4" ht="25.5" customHeight="1" x14ac:dyDescent="0.2">
      <c r="B25" s="76" t="s">
        <v>1283</v>
      </c>
      <c r="C25" s="77" t="s">
        <v>1284</v>
      </c>
      <c r="D25" s="77"/>
    </row>
    <row r="26" spans="2:4" ht="19.5" customHeight="1" x14ac:dyDescent="0.2">
      <c r="B26" s="76"/>
      <c r="C26" s="52" t="s">
        <v>1272</v>
      </c>
      <c r="D26" s="49" t="s">
        <v>1285</v>
      </c>
    </row>
    <row r="27" spans="2:4" ht="337.5" customHeight="1" x14ac:dyDescent="0.2">
      <c r="B27" s="73" t="s">
        <v>1286</v>
      </c>
      <c r="C27" s="73"/>
      <c r="D27" s="73"/>
    </row>
    <row r="28" spans="2:4" ht="9.75" customHeight="1" x14ac:dyDescent="0.2"/>
    <row r="29" spans="2:4" ht="25.5" customHeight="1" x14ac:dyDescent="0.2">
      <c r="B29" s="80" t="s">
        <v>1287</v>
      </c>
      <c r="C29" s="81" t="s">
        <v>1288</v>
      </c>
      <c r="D29" s="81"/>
    </row>
    <row r="30" spans="2:4" ht="19.5" customHeight="1" x14ac:dyDescent="0.2">
      <c r="B30" s="80"/>
      <c r="C30" s="48" t="s">
        <v>1272</v>
      </c>
      <c r="D30" s="49" t="s">
        <v>1289</v>
      </c>
    </row>
    <row r="31" spans="2:4" ht="409.5" customHeight="1" x14ac:dyDescent="0.2">
      <c r="B31" s="73" t="s">
        <v>1290</v>
      </c>
      <c r="C31" s="73"/>
      <c r="D31" s="73"/>
    </row>
    <row r="32" spans="2:4" ht="9.75" customHeight="1" x14ac:dyDescent="0.2"/>
    <row r="33" spans="2:4" ht="25.5" customHeight="1" x14ac:dyDescent="0.2">
      <c r="B33" s="76" t="s">
        <v>1291</v>
      </c>
      <c r="C33" s="77" t="s">
        <v>1292</v>
      </c>
      <c r="D33" s="77"/>
    </row>
    <row r="34" spans="2:4" ht="19.5" customHeight="1" x14ac:dyDescent="0.2">
      <c r="B34" s="76"/>
      <c r="C34" s="52" t="s">
        <v>1272</v>
      </c>
      <c r="D34" s="49" t="s">
        <v>1293</v>
      </c>
    </row>
    <row r="35" spans="2:4" ht="285.75" customHeight="1" x14ac:dyDescent="0.2">
      <c r="B35" s="73" t="s">
        <v>1294</v>
      </c>
      <c r="C35" s="73"/>
      <c r="D35" s="73"/>
    </row>
    <row r="36" spans="2:4" ht="9.75" customHeight="1" x14ac:dyDescent="0.2"/>
    <row r="37" spans="2:4" ht="25.5" customHeight="1" x14ac:dyDescent="0.2">
      <c r="B37" s="78" t="s">
        <v>1295</v>
      </c>
      <c r="C37" s="79" t="s">
        <v>1296</v>
      </c>
      <c r="D37" s="79"/>
    </row>
    <row r="38" spans="2:4" ht="19.5" customHeight="1" x14ac:dyDescent="0.2">
      <c r="B38" s="78"/>
      <c r="C38" s="53" t="s">
        <v>1272</v>
      </c>
      <c r="D38" s="49" t="s">
        <v>1297</v>
      </c>
    </row>
    <row r="39" spans="2:4" ht="259.5" customHeight="1" x14ac:dyDescent="0.2">
      <c r="B39" s="73" t="s">
        <v>1298</v>
      </c>
      <c r="C39" s="73"/>
      <c r="D39" s="73"/>
    </row>
    <row r="40" spans="2:4" ht="9.75" customHeight="1" x14ac:dyDescent="0.2"/>
    <row r="41" spans="2:4" ht="25.5" customHeight="1" x14ac:dyDescent="0.2">
      <c r="B41" s="78" t="s">
        <v>1299</v>
      </c>
      <c r="C41" s="79" t="s">
        <v>1300</v>
      </c>
      <c r="D41" s="79"/>
    </row>
    <row r="42" spans="2:4" ht="19.5" customHeight="1" x14ac:dyDescent="0.2">
      <c r="B42" s="78"/>
      <c r="C42" s="53" t="s">
        <v>1272</v>
      </c>
      <c r="D42" s="49" t="s">
        <v>1301</v>
      </c>
    </row>
    <row r="43" spans="2:4" ht="390" customHeight="1" x14ac:dyDescent="0.2">
      <c r="B43" s="73" t="s">
        <v>1302</v>
      </c>
      <c r="C43" s="73"/>
      <c r="D43" s="73"/>
    </row>
    <row r="44" spans="2:4" ht="9.75" customHeight="1" x14ac:dyDescent="0.2"/>
    <row r="45" spans="2:4" ht="25.5" customHeight="1" x14ac:dyDescent="0.2">
      <c r="B45" s="76" t="s">
        <v>1303</v>
      </c>
      <c r="C45" s="77" t="s">
        <v>1304</v>
      </c>
      <c r="D45" s="77"/>
    </row>
    <row r="46" spans="2:4" ht="19.5" customHeight="1" x14ac:dyDescent="0.2">
      <c r="B46" s="76"/>
      <c r="C46" s="52" t="s">
        <v>1272</v>
      </c>
      <c r="D46" s="49" t="s">
        <v>1305</v>
      </c>
    </row>
    <row r="47" spans="2:4" ht="298.5" customHeight="1" x14ac:dyDescent="0.2">
      <c r="B47" s="73" t="s">
        <v>1306</v>
      </c>
      <c r="C47" s="73"/>
      <c r="D47" s="73"/>
    </row>
    <row r="48" spans="2:4" ht="9.75" customHeight="1" x14ac:dyDescent="0.2"/>
    <row r="49" spans="2:4" ht="25.5" customHeight="1" x14ac:dyDescent="0.2">
      <c r="B49" s="76" t="s">
        <v>1307</v>
      </c>
      <c r="C49" s="77" t="s">
        <v>1308</v>
      </c>
      <c r="D49" s="77"/>
    </row>
    <row r="50" spans="2:4" ht="19.5" customHeight="1" x14ac:dyDescent="0.2">
      <c r="B50" s="76"/>
      <c r="C50" s="52" t="s">
        <v>1272</v>
      </c>
      <c r="D50" s="49" t="s">
        <v>1309</v>
      </c>
    </row>
    <row r="51" spans="2:4" ht="409.5" customHeight="1" x14ac:dyDescent="0.2">
      <c r="B51" s="73" t="s">
        <v>1310</v>
      </c>
      <c r="C51" s="73"/>
      <c r="D51" s="73"/>
    </row>
    <row r="52" spans="2:4" ht="12" customHeight="1" x14ac:dyDescent="0.2"/>
    <row r="53" spans="2:4" ht="27.75" customHeight="1" x14ac:dyDescent="0.2">
      <c r="B53" s="74" t="s">
        <v>1311</v>
      </c>
      <c r="C53" s="74"/>
      <c r="D53" s="74"/>
    </row>
    <row r="54" spans="2:4" ht="409.5" customHeight="1" x14ac:dyDescent="0.2">
      <c r="B54" s="73" t="s">
        <v>1312</v>
      </c>
      <c r="C54" s="73"/>
      <c r="D54" s="73"/>
    </row>
    <row r="55" spans="2:4" ht="9.75" customHeight="1" x14ac:dyDescent="0.2"/>
    <row r="56" spans="2:4" ht="27.75" customHeight="1" x14ac:dyDescent="0.2">
      <c r="B56" s="63" t="s">
        <v>1313</v>
      </c>
      <c r="C56" s="63"/>
      <c r="D56" s="63"/>
    </row>
    <row r="57" spans="2:4" ht="24" customHeight="1" x14ac:dyDescent="0.2">
      <c r="B57" s="1" t="s">
        <v>1314</v>
      </c>
      <c r="C57" s="1" t="s">
        <v>1315</v>
      </c>
      <c r="D57" s="54" t="s">
        <v>1316</v>
      </c>
    </row>
    <row r="58" spans="2:4" ht="21.75" customHeight="1" x14ac:dyDescent="0.2">
      <c r="B58" s="2" t="s">
        <v>1317</v>
      </c>
      <c r="C58" s="50" t="s">
        <v>1318</v>
      </c>
      <c r="D58" s="55" t="s">
        <v>1319</v>
      </c>
    </row>
    <row r="59" spans="2:4" ht="21.75" customHeight="1" x14ac:dyDescent="0.2">
      <c r="B59" s="3" t="s">
        <v>1320</v>
      </c>
      <c r="C59" s="56" t="s">
        <v>1321</v>
      </c>
      <c r="D59" s="57" t="s">
        <v>1322</v>
      </c>
    </row>
    <row r="60" spans="2:4" ht="21.75" customHeight="1" x14ac:dyDescent="0.2">
      <c r="B60" s="6" t="s">
        <v>1323</v>
      </c>
      <c r="C60" s="50" t="s">
        <v>1324</v>
      </c>
      <c r="D60" s="55" t="s">
        <v>1325</v>
      </c>
    </row>
    <row r="61" spans="2:4" ht="21.75" customHeight="1" x14ac:dyDescent="0.2">
      <c r="B61" s="5" t="s">
        <v>1326</v>
      </c>
      <c r="C61" s="56" t="s">
        <v>1327</v>
      </c>
      <c r="D61" s="57" t="s">
        <v>1328</v>
      </c>
    </row>
    <row r="62" spans="2:4" ht="21.75" customHeight="1" x14ac:dyDescent="0.2">
      <c r="B62" s="2" t="s">
        <v>1329</v>
      </c>
      <c r="C62" s="50" t="s">
        <v>1330</v>
      </c>
      <c r="D62" s="55" t="s">
        <v>1331</v>
      </c>
    </row>
    <row r="63" spans="2:4" ht="21.75" customHeight="1" x14ac:dyDescent="0.2">
      <c r="B63" s="5" t="s">
        <v>1332</v>
      </c>
      <c r="C63" s="56" t="s">
        <v>1333</v>
      </c>
      <c r="D63" s="57" t="s">
        <v>1334</v>
      </c>
    </row>
    <row r="64" spans="2:4" ht="21.75" customHeight="1" x14ac:dyDescent="0.2">
      <c r="B64" s="21" t="s">
        <v>1335</v>
      </c>
      <c r="C64" s="50" t="s">
        <v>92</v>
      </c>
      <c r="D64" s="55" t="s">
        <v>1336</v>
      </c>
    </row>
    <row r="65" spans="2:4" ht="21.75" customHeight="1" x14ac:dyDescent="0.2">
      <c r="B65" s="21" t="s">
        <v>1337</v>
      </c>
      <c r="C65" s="56" t="s">
        <v>1338</v>
      </c>
      <c r="D65" s="57" t="s">
        <v>1339</v>
      </c>
    </row>
    <row r="66" spans="2:4" ht="21.75" customHeight="1" x14ac:dyDescent="0.2">
      <c r="B66" s="5" t="s">
        <v>1340</v>
      </c>
      <c r="C66" s="50" t="s">
        <v>1341</v>
      </c>
      <c r="D66" s="55" t="s">
        <v>1342</v>
      </c>
    </row>
    <row r="67" spans="2:4" ht="21.75" customHeight="1" x14ac:dyDescent="0.2">
      <c r="B67" s="5" t="s">
        <v>1343</v>
      </c>
      <c r="C67" s="56" t="s">
        <v>1344</v>
      </c>
      <c r="D67" s="57" t="s">
        <v>1345</v>
      </c>
    </row>
    <row r="68" spans="2:4" ht="27.75" customHeight="1" x14ac:dyDescent="0.2">
      <c r="B68" s="4" t="s">
        <v>1346</v>
      </c>
      <c r="C68" s="50" t="s">
        <v>1347</v>
      </c>
      <c r="D68" s="58" t="s">
        <v>1348</v>
      </c>
    </row>
    <row r="69" spans="2:4" ht="7.5" customHeight="1" x14ac:dyDescent="0.2"/>
    <row r="70" spans="2:4" ht="30" customHeight="1" x14ac:dyDescent="0.2">
      <c r="B70" s="75" t="s">
        <v>1349</v>
      </c>
      <c r="C70" s="75"/>
      <c r="D70" s="75"/>
    </row>
  </sheetData>
  <mergeCells count="39">
    <mergeCell ref="B2:D2"/>
    <mergeCell ref="B3:D3"/>
    <mergeCell ref="B5:D5"/>
    <mergeCell ref="B9:D9"/>
    <mergeCell ref="B11:D11"/>
    <mergeCell ref="B13:B14"/>
    <mergeCell ref="C13:D13"/>
    <mergeCell ref="B15:D15"/>
    <mergeCell ref="B17:B18"/>
    <mergeCell ref="C17:D17"/>
    <mergeCell ref="B19:D19"/>
    <mergeCell ref="B21:B22"/>
    <mergeCell ref="C21:D21"/>
    <mergeCell ref="B23:D23"/>
    <mergeCell ref="B25:B26"/>
    <mergeCell ref="C25:D25"/>
    <mergeCell ref="B27:D27"/>
    <mergeCell ref="B29:B30"/>
    <mergeCell ref="C29:D29"/>
    <mergeCell ref="B31:D31"/>
    <mergeCell ref="B33:B34"/>
    <mergeCell ref="C33:D33"/>
    <mergeCell ref="B35:D35"/>
    <mergeCell ref="B37:B38"/>
    <mergeCell ref="C37:D37"/>
    <mergeCell ref="B39:D39"/>
    <mergeCell ref="B41:B42"/>
    <mergeCell ref="C41:D41"/>
    <mergeCell ref="B43:D43"/>
    <mergeCell ref="B45:B46"/>
    <mergeCell ref="C45:D45"/>
    <mergeCell ref="B47:D47"/>
    <mergeCell ref="B49:B50"/>
    <mergeCell ref="C49:D49"/>
    <mergeCell ref="B51:D51"/>
    <mergeCell ref="B53:D53"/>
    <mergeCell ref="B54:D54"/>
    <mergeCell ref="B56:D56"/>
    <mergeCell ref="B70:D70"/>
  </mergeCells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1B2A5A"/>
  </sheetPr>
  <dimension ref="A1:I31"/>
  <sheetViews>
    <sheetView showGridLines="0" zoomScaleNormal="100" workbookViewId="0"/>
  </sheetViews>
  <sheetFormatPr baseColWidth="10" defaultColWidth="8.6640625" defaultRowHeight="15" x14ac:dyDescent="0.2"/>
  <cols>
    <col min="1" max="1" width="12" customWidth="1"/>
    <col min="2" max="2" width="26" customWidth="1"/>
    <col min="3" max="3" width="20" customWidth="1"/>
    <col min="4" max="4" width="14" customWidth="1"/>
    <col min="5" max="5" width="22" customWidth="1"/>
    <col min="6" max="6" width="16" customWidth="1"/>
    <col min="7" max="7" width="20" customWidth="1"/>
    <col min="8" max="8" width="22" customWidth="1"/>
    <col min="9" max="9" width="40" customWidth="1"/>
  </cols>
  <sheetData>
    <row r="1" spans="1:9" ht="30" customHeight="1" x14ac:dyDescent="0.2">
      <c r="A1" s="88" t="s">
        <v>1350</v>
      </c>
      <c r="B1" s="88"/>
      <c r="C1" s="88"/>
      <c r="D1" s="88"/>
      <c r="E1" s="88"/>
      <c r="F1" s="88"/>
      <c r="G1" s="88"/>
      <c r="H1" s="88"/>
      <c r="I1" s="88"/>
    </row>
    <row r="3" spans="1:9" ht="21.75" customHeight="1" x14ac:dyDescent="0.2">
      <c r="A3" s="63" t="s">
        <v>1351</v>
      </c>
      <c r="B3" s="63"/>
      <c r="C3" s="63"/>
      <c r="D3" s="63"/>
      <c r="E3" s="63"/>
      <c r="F3" s="63"/>
      <c r="G3" s="63"/>
      <c r="H3" s="63"/>
      <c r="I3" s="63"/>
    </row>
    <row r="4" spans="1:9" ht="27.75" customHeight="1" x14ac:dyDescent="0.2">
      <c r="A4" s="1" t="s">
        <v>1352</v>
      </c>
      <c r="B4" s="1" t="s">
        <v>118</v>
      </c>
      <c r="C4" s="1" t="s">
        <v>119</v>
      </c>
      <c r="D4" s="1" t="s">
        <v>1353</v>
      </c>
      <c r="E4" s="1" t="s">
        <v>1354</v>
      </c>
      <c r="F4" s="1" t="s">
        <v>1355</v>
      </c>
      <c r="G4" s="1" t="s">
        <v>1356</v>
      </c>
      <c r="H4" s="1" t="s">
        <v>1357</v>
      </c>
      <c r="I4" s="1" t="s">
        <v>1358</v>
      </c>
    </row>
    <row r="5" spans="1:9" ht="15" customHeight="1" x14ac:dyDescent="0.2">
      <c r="A5" s="8" t="s">
        <v>124</v>
      </c>
      <c r="B5" s="8" t="s">
        <v>126</v>
      </c>
      <c r="C5" s="8" t="s">
        <v>127</v>
      </c>
      <c r="D5" s="13">
        <v>20</v>
      </c>
      <c r="E5" s="8" t="s">
        <v>1359</v>
      </c>
      <c r="F5" s="8" t="s">
        <v>1360</v>
      </c>
      <c r="G5" s="8">
        <v>34</v>
      </c>
      <c r="H5" s="8" t="s">
        <v>1361</v>
      </c>
      <c r="I5" s="8"/>
    </row>
    <row r="6" spans="1:9" ht="15" customHeight="1" x14ac:dyDescent="0.2">
      <c r="A6" s="9" t="s">
        <v>132</v>
      </c>
      <c r="B6" s="9" t="s">
        <v>134</v>
      </c>
      <c r="C6" s="9" t="s">
        <v>135</v>
      </c>
      <c r="D6" s="9">
        <v>14</v>
      </c>
      <c r="E6" s="9" t="s">
        <v>1362</v>
      </c>
      <c r="F6" s="9" t="s">
        <v>1360</v>
      </c>
      <c r="G6" s="9">
        <v>35</v>
      </c>
      <c r="H6" s="9" t="s">
        <v>1363</v>
      </c>
      <c r="I6" s="9"/>
    </row>
    <row r="7" spans="1:9" ht="23.25" customHeight="1" x14ac:dyDescent="0.2">
      <c r="A7" s="8" t="s">
        <v>139</v>
      </c>
      <c r="B7" s="8" t="s">
        <v>141</v>
      </c>
      <c r="C7" s="8" t="s">
        <v>142</v>
      </c>
      <c r="D7" s="8">
        <v>5</v>
      </c>
      <c r="E7" s="8" t="s">
        <v>1364</v>
      </c>
      <c r="F7" s="8" t="s">
        <v>1360</v>
      </c>
      <c r="G7" s="59">
        <v>5</v>
      </c>
      <c r="H7" s="8" t="s">
        <v>1365</v>
      </c>
      <c r="I7" s="8" t="s">
        <v>1366</v>
      </c>
    </row>
    <row r="8" spans="1:9" ht="34.5" customHeight="1" x14ac:dyDescent="0.2">
      <c r="A8" s="9" t="s">
        <v>145</v>
      </c>
      <c r="B8" s="9" t="s">
        <v>147</v>
      </c>
      <c r="C8" s="9" t="s">
        <v>135</v>
      </c>
      <c r="D8" s="9">
        <v>16</v>
      </c>
      <c r="E8" s="9" t="s">
        <v>1367</v>
      </c>
      <c r="F8" s="9" t="s">
        <v>1360</v>
      </c>
      <c r="G8" s="60">
        <v>45.75</v>
      </c>
      <c r="H8" s="9" t="s">
        <v>1363</v>
      </c>
      <c r="I8" s="9" t="s">
        <v>1368</v>
      </c>
    </row>
    <row r="9" spans="1:9" ht="15" customHeight="1" x14ac:dyDescent="0.2">
      <c r="A9" s="8" t="s">
        <v>150</v>
      </c>
      <c r="B9" s="8" t="s">
        <v>152</v>
      </c>
      <c r="C9" s="8" t="s">
        <v>135</v>
      </c>
      <c r="D9" s="8">
        <v>6</v>
      </c>
      <c r="E9" s="8" t="s">
        <v>1369</v>
      </c>
      <c r="F9" s="8" t="s">
        <v>1360</v>
      </c>
      <c r="G9" s="8">
        <v>25</v>
      </c>
      <c r="H9" s="8" t="s">
        <v>1370</v>
      </c>
      <c r="I9" s="8"/>
    </row>
    <row r="10" spans="1:9" ht="15" customHeight="1" x14ac:dyDescent="0.2">
      <c r="A10" s="9" t="s">
        <v>155</v>
      </c>
      <c r="B10" s="9" t="s">
        <v>1371</v>
      </c>
      <c r="C10" s="9" t="s">
        <v>158</v>
      </c>
      <c r="D10" s="18">
        <v>20</v>
      </c>
      <c r="E10" s="9" t="s">
        <v>1372</v>
      </c>
      <c r="F10" s="9" t="s">
        <v>1360</v>
      </c>
      <c r="G10" s="9">
        <v>38</v>
      </c>
      <c r="H10" s="9" t="s">
        <v>1373</v>
      </c>
      <c r="I10" s="9"/>
    </row>
    <row r="11" spans="1:9" ht="15" customHeight="1" x14ac:dyDescent="0.2">
      <c r="A11" s="8" t="s">
        <v>208</v>
      </c>
      <c r="B11" s="8" t="s">
        <v>210</v>
      </c>
      <c r="C11" s="8" t="s">
        <v>211</v>
      </c>
      <c r="D11" s="8">
        <v>14.4</v>
      </c>
      <c r="E11" s="8" t="s">
        <v>1374</v>
      </c>
      <c r="F11" s="8" t="s">
        <v>1360</v>
      </c>
      <c r="G11" s="59">
        <v>14.4</v>
      </c>
      <c r="H11" s="8" t="s">
        <v>1375</v>
      </c>
      <c r="I11" s="8" t="s">
        <v>1376</v>
      </c>
    </row>
    <row r="12" spans="1:9" ht="15" customHeight="1" x14ac:dyDescent="0.2">
      <c r="A12" s="9" t="s">
        <v>161</v>
      </c>
      <c r="B12" s="9" t="s">
        <v>163</v>
      </c>
      <c r="C12" s="9" t="s">
        <v>127</v>
      </c>
      <c r="D12" s="18">
        <v>30</v>
      </c>
      <c r="E12" s="9" t="s">
        <v>1377</v>
      </c>
      <c r="F12" s="9" t="s">
        <v>1378</v>
      </c>
      <c r="G12" s="60">
        <v>45</v>
      </c>
      <c r="H12" s="9" t="s">
        <v>1373</v>
      </c>
      <c r="I12" s="9" t="s">
        <v>1379</v>
      </c>
    </row>
    <row r="13" spans="1:9" ht="15" customHeight="1" x14ac:dyDescent="0.2">
      <c r="A13" s="8" t="s">
        <v>166</v>
      </c>
      <c r="B13" s="8" t="s">
        <v>168</v>
      </c>
      <c r="C13" s="8" t="s">
        <v>169</v>
      </c>
      <c r="D13" s="13">
        <v>20</v>
      </c>
      <c r="E13" s="8" t="s">
        <v>1380</v>
      </c>
      <c r="F13" s="8" t="s">
        <v>1360</v>
      </c>
      <c r="G13" s="8">
        <v>20</v>
      </c>
      <c r="H13" s="8" t="s">
        <v>1381</v>
      </c>
      <c r="I13" s="8" t="s">
        <v>1382</v>
      </c>
    </row>
    <row r="14" spans="1:9" ht="15" customHeight="1" x14ac:dyDescent="0.2">
      <c r="A14" s="9" t="s">
        <v>172</v>
      </c>
      <c r="B14" s="9" t="s">
        <v>174</v>
      </c>
      <c r="C14" s="9" t="s">
        <v>127</v>
      </c>
      <c r="D14" s="18">
        <v>20.77</v>
      </c>
      <c r="E14" s="9" t="s">
        <v>1377</v>
      </c>
      <c r="F14" s="9" t="s">
        <v>1360</v>
      </c>
      <c r="G14" s="9">
        <v>35.770000000000003</v>
      </c>
      <c r="H14" s="9" t="s">
        <v>1383</v>
      </c>
      <c r="I14" s="9" t="s">
        <v>1384</v>
      </c>
    </row>
    <row r="15" spans="1:9" ht="15" customHeight="1" x14ac:dyDescent="0.2">
      <c r="A15" s="8" t="s">
        <v>177</v>
      </c>
      <c r="B15" s="8" t="s">
        <v>179</v>
      </c>
      <c r="C15" s="8" t="s">
        <v>180</v>
      </c>
      <c r="D15" s="8">
        <v>5</v>
      </c>
      <c r="E15" s="8" t="s">
        <v>1385</v>
      </c>
      <c r="F15" s="8" t="s">
        <v>1360</v>
      </c>
      <c r="G15" s="59">
        <v>10</v>
      </c>
      <c r="H15" s="8" t="s">
        <v>1386</v>
      </c>
      <c r="I15" s="8"/>
    </row>
    <row r="16" spans="1:9" ht="23.25" customHeight="1" x14ac:dyDescent="0.2">
      <c r="A16" s="9" t="s">
        <v>183</v>
      </c>
      <c r="B16" s="9" t="s">
        <v>185</v>
      </c>
      <c r="C16" s="9" t="s">
        <v>142</v>
      </c>
      <c r="D16" s="18">
        <v>30</v>
      </c>
      <c r="E16" s="9" t="s">
        <v>1387</v>
      </c>
      <c r="F16" s="9" t="s">
        <v>1388</v>
      </c>
      <c r="G16" s="60">
        <v>42</v>
      </c>
      <c r="H16" s="9" t="s">
        <v>1389</v>
      </c>
      <c r="I16" s="9" t="s">
        <v>1390</v>
      </c>
    </row>
    <row r="17" spans="1:9" ht="15" customHeight="1" x14ac:dyDescent="0.2">
      <c r="A17" s="8" t="s">
        <v>188</v>
      </c>
      <c r="B17" s="8" t="s">
        <v>190</v>
      </c>
      <c r="C17" s="8" t="s">
        <v>180</v>
      </c>
      <c r="D17" s="8">
        <v>5</v>
      </c>
      <c r="E17" s="8" t="s">
        <v>1377</v>
      </c>
      <c r="F17" s="8" t="s">
        <v>1360</v>
      </c>
      <c r="G17" s="8">
        <v>20</v>
      </c>
      <c r="H17" s="8" t="s">
        <v>1386</v>
      </c>
      <c r="I17" s="8" t="s">
        <v>1391</v>
      </c>
    </row>
    <row r="18" spans="1:9" ht="15" customHeight="1" x14ac:dyDescent="0.2">
      <c r="A18" s="9" t="s">
        <v>198</v>
      </c>
      <c r="B18" s="9" t="s">
        <v>200</v>
      </c>
      <c r="C18" s="9" t="s">
        <v>142</v>
      </c>
      <c r="D18" s="18">
        <v>30</v>
      </c>
      <c r="E18" s="9" t="s">
        <v>1392</v>
      </c>
      <c r="F18" s="9" t="s">
        <v>1360</v>
      </c>
      <c r="G18" s="9">
        <v>37</v>
      </c>
      <c r="H18" s="9" t="s">
        <v>1393</v>
      </c>
      <c r="I18" s="9" t="s">
        <v>1394</v>
      </c>
    </row>
    <row r="19" spans="1:9" ht="15" customHeight="1" x14ac:dyDescent="0.2">
      <c r="A19" s="8" t="s">
        <v>203</v>
      </c>
      <c r="B19" s="8" t="s">
        <v>1395</v>
      </c>
      <c r="C19" s="8" t="s">
        <v>180</v>
      </c>
      <c r="D19" s="8">
        <v>5</v>
      </c>
      <c r="E19" s="8" t="s">
        <v>1385</v>
      </c>
      <c r="F19" s="8" t="s">
        <v>1360</v>
      </c>
      <c r="G19" s="59">
        <v>10</v>
      </c>
      <c r="H19" s="8" t="s">
        <v>1386</v>
      </c>
      <c r="I19" s="8"/>
    </row>
    <row r="20" spans="1:9" ht="15" customHeight="1" x14ac:dyDescent="0.2">
      <c r="A20" s="9" t="s">
        <v>214</v>
      </c>
      <c r="B20" s="9" t="s">
        <v>216</v>
      </c>
      <c r="C20" s="9" t="s">
        <v>135</v>
      </c>
      <c r="D20" s="9">
        <v>14</v>
      </c>
      <c r="E20" s="9" t="s">
        <v>1396</v>
      </c>
      <c r="F20" s="9" t="s">
        <v>1360</v>
      </c>
      <c r="G20" s="9">
        <v>36</v>
      </c>
      <c r="H20" s="9" t="s">
        <v>1363</v>
      </c>
      <c r="I20" s="9"/>
    </row>
    <row r="21" spans="1:9" ht="15" customHeight="1" x14ac:dyDescent="0.2">
      <c r="A21" s="8" t="s">
        <v>193</v>
      </c>
      <c r="B21" s="8" t="s">
        <v>195</v>
      </c>
      <c r="C21" s="8" t="s">
        <v>127</v>
      </c>
      <c r="D21" s="13">
        <v>20.77</v>
      </c>
      <c r="E21" s="8" t="s">
        <v>1374</v>
      </c>
      <c r="F21" s="8" t="s">
        <v>1360</v>
      </c>
      <c r="G21" s="8">
        <v>20.77</v>
      </c>
      <c r="H21" s="8" t="s">
        <v>1383</v>
      </c>
      <c r="I21" s="8" t="s">
        <v>1397</v>
      </c>
    </row>
    <row r="23" spans="1:9" ht="7.5" customHeight="1" x14ac:dyDescent="0.2"/>
    <row r="25" spans="1:9" ht="21.75" customHeight="1" x14ac:dyDescent="0.2">
      <c r="A25" s="67" t="s">
        <v>1398</v>
      </c>
      <c r="B25" s="67"/>
      <c r="C25" s="67"/>
      <c r="D25" s="67"/>
      <c r="E25" s="67"/>
      <c r="F25" s="67"/>
      <c r="G25" s="67"/>
      <c r="H25" s="67"/>
      <c r="I25" s="67"/>
    </row>
    <row r="26" spans="1:9" ht="27.75" customHeight="1" x14ac:dyDescent="0.2">
      <c r="A26" s="10" t="s">
        <v>1352</v>
      </c>
      <c r="B26" s="10" t="s">
        <v>118</v>
      </c>
      <c r="C26" s="10" t="s">
        <v>1399</v>
      </c>
      <c r="D26" s="10" t="s">
        <v>1400</v>
      </c>
      <c r="E26" s="10" t="s">
        <v>1401</v>
      </c>
      <c r="F26" s="10" t="s">
        <v>1402</v>
      </c>
      <c r="G26" s="10" t="s">
        <v>1403</v>
      </c>
      <c r="H26" s="10" t="s">
        <v>1404</v>
      </c>
      <c r="I26" s="10" t="s">
        <v>1405</v>
      </c>
    </row>
    <row r="27" spans="1:9" ht="15" customHeight="1" x14ac:dyDescent="0.2">
      <c r="A27" s="8" t="s">
        <v>161</v>
      </c>
      <c r="B27" s="8" t="s">
        <v>163</v>
      </c>
      <c r="C27" s="8" t="s">
        <v>1406</v>
      </c>
      <c r="D27" s="8" t="s">
        <v>1407</v>
      </c>
      <c r="E27" s="8">
        <v>15</v>
      </c>
      <c r="F27" s="8">
        <v>30</v>
      </c>
      <c r="G27" s="60" t="s">
        <v>1408</v>
      </c>
      <c r="H27" s="8" t="s">
        <v>418</v>
      </c>
      <c r="I27" s="8" t="s">
        <v>488</v>
      </c>
    </row>
    <row r="28" spans="1:9" ht="15" customHeight="1" x14ac:dyDescent="0.2">
      <c r="A28" s="9" t="s">
        <v>145</v>
      </c>
      <c r="B28" s="9" t="s">
        <v>147</v>
      </c>
      <c r="C28" s="9" t="s">
        <v>1406</v>
      </c>
      <c r="D28" s="9" t="s">
        <v>1409</v>
      </c>
      <c r="E28" s="9">
        <v>12</v>
      </c>
      <c r="F28" s="9">
        <v>18</v>
      </c>
      <c r="G28" s="60" t="s">
        <v>1410</v>
      </c>
      <c r="H28" s="9" t="s">
        <v>408</v>
      </c>
      <c r="I28" s="9" t="s">
        <v>496</v>
      </c>
    </row>
    <row r="29" spans="1:9" ht="15" customHeight="1" x14ac:dyDescent="0.2">
      <c r="A29" s="8" t="s">
        <v>208</v>
      </c>
      <c r="B29" s="8" t="s">
        <v>210</v>
      </c>
      <c r="C29" s="8" t="s">
        <v>1406</v>
      </c>
      <c r="D29" s="8" t="s">
        <v>1407</v>
      </c>
      <c r="E29" s="8">
        <v>10</v>
      </c>
      <c r="F29" s="8">
        <v>14.4</v>
      </c>
      <c r="G29" s="60" t="s">
        <v>1411</v>
      </c>
      <c r="H29" s="8" t="s">
        <v>397</v>
      </c>
      <c r="I29" s="8" t="s">
        <v>1412</v>
      </c>
    </row>
    <row r="30" spans="1:9" ht="15" customHeight="1" x14ac:dyDescent="0.2">
      <c r="A30" s="9" t="s">
        <v>188</v>
      </c>
      <c r="B30" s="9" t="s">
        <v>190</v>
      </c>
      <c r="C30" s="9" t="s">
        <v>1406</v>
      </c>
      <c r="D30" s="9" t="s">
        <v>495</v>
      </c>
      <c r="E30" s="9">
        <v>5</v>
      </c>
      <c r="F30" s="9">
        <v>15</v>
      </c>
      <c r="G30" s="60" t="s">
        <v>1413</v>
      </c>
      <c r="H30" s="9" t="s">
        <v>447</v>
      </c>
      <c r="I30" s="9" t="s">
        <v>1414</v>
      </c>
    </row>
    <row r="31" spans="1:9" ht="15" customHeight="1" x14ac:dyDescent="0.2">
      <c r="A31" s="8" t="s">
        <v>183</v>
      </c>
      <c r="B31" s="8" t="s">
        <v>185</v>
      </c>
      <c r="C31" s="8" t="s">
        <v>1406</v>
      </c>
      <c r="D31" s="8" t="s">
        <v>495</v>
      </c>
      <c r="E31" s="8">
        <v>9</v>
      </c>
      <c r="F31" s="8">
        <v>12</v>
      </c>
      <c r="G31" s="60" t="s">
        <v>1415</v>
      </c>
      <c r="H31" s="8" t="s">
        <v>890</v>
      </c>
      <c r="I31" s="8" t="s">
        <v>895</v>
      </c>
    </row>
  </sheetData>
  <mergeCells count="3">
    <mergeCell ref="A1:I1"/>
    <mergeCell ref="A3:I3"/>
    <mergeCell ref="A25:I2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DEVELOPER_NOTES</vt:lpstr>
      <vt:lpstr>README</vt:lpstr>
      <vt:lpstr>COUNTRY</vt:lpstr>
      <vt:lpstr>HS_SECTION</vt:lpstr>
      <vt:lpstr>HS_HEADING</vt:lpstr>
      <vt:lpstr>HS_SUBHEADING</vt:lpstr>
      <vt:lpstr>COMMODITY_CODE</vt:lpstr>
      <vt:lpstr>MFN_RATE</vt:lpstr>
      <vt:lpstr>TARIFF_RATE</vt:lpstr>
      <vt:lpstr>TARIFF_RATE_HIST</vt:lpstr>
      <vt:lpstr>TRADE_AGREEMENT</vt:lpstr>
      <vt:lpstr>PREFERENTIAL_RATE</vt:lpstr>
      <vt:lpstr>RULES_OF_ORIGIN</vt:lpstr>
      <vt:lpstr>ORIGIN_DOCUMENT</vt:lpstr>
      <vt:lpstr>REG_MEASURE</vt:lpstr>
      <vt:lpstr>IMPORT_CONDITION</vt:lpstr>
      <vt:lpstr>EXPORT_MEASURE</vt:lpstr>
      <vt:lpstr>SANCTIONS_MEASURE</vt:lpstr>
      <vt:lpstr>VAT_RATE</vt:lpstr>
      <vt:lpstr>Sheet1</vt:lpstr>
      <vt:lpstr>EXCISE</vt:lpstr>
      <vt:lpstr>AD_MEASURE</vt:lpstr>
      <vt:lpstr>DUTY_RELIEF</vt:lpstr>
      <vt:lpstr>TARIFF_SOURCE</vt:lpstr>
      <vt:lpstr>SOURCE_SYNC_JOB</vt:lpstr>
      <vt:lpstr>SOURCE_SYNC_CHANGE</vt:lpstr>
      <vt:lpstr>TARIFF_LOOKUP_QUERY</vt:lpstr>
      <vt:lpstr>QUERY_EXAMPLES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Support at xPhlo</cp:lastModifiedBy>
  <cp:revision>0</cp:revision>
  <dcterms:created xsi:type="dcterms:W3CDTF">2026-03-24T16:22:44Z</dcterms:created>
  <dcterms:modified xsi:type="dcterms:W3CDTF">2026-03-25T09:00:15Z</dcterms:modified>
  <dc:language>en-US</dc:language>
</cp:coreProperties>
</file>